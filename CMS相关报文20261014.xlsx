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windowWidth="30720" windowHeight="13380"/>
  </bookViews>
  <sheets>
    <sheet name="BCAN" sheetId="3" r:id="rId1"/>
  </sheets>
  <externalReferences>
    <externalReference r:id="rId2"/>
  </externalReferences>
  <definedNames>
    <definedName name="_xlnm._FilterDatabase" localSheetId="0" hidden="1">BCAN!$A$1:$CE$97</definedName>
    <definedName name="AUDIO_4">[1]Signal_List!#REF!</definedName>
    <definedName name="_xlnm._FilterDatabase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<sst xmlns="http://schemas.openxmlformats.org/spreadsheetml/2006/main" count="826" uniqueCount="293">
  <si>
    <r>
      <rPr>
        <b/>
        <i/>
        <sz val="10"/>
        <color rgb="FF000000"/>
        <rFont val="Arial"/>
        <charset val="134"/>
      </rPr>
      <t xml:space="preserve">Msg Name
</t>
    </r>
    <r>
      <rPr>
        <b/>
        <i/>
        <sz val="10"/>
        <rFont val="宋体"/>
        <charset val="134"/>
      </rPr>
      <t>报文名称</t>
    </r>
  </si>
  <si>
    <r>
      <rPr>
        <b/>
        <i/>
        <sz val="10"/>
        <color rgb="FF000000"/>
        <rFont val="Arial"/>
        <charset val="134"/>
      </rPr>
      <t xml:space="preserve">Msg Type
</t>
    </r>
    <r>
      <rPr>
        <b/>
        <i/>
        <sz val="10"/>
        <rFont val="宋体"/>
        <charset val="134"/>
      </rPr>
      <t>报文类型</t>
    </r>
  </si>
  <si>
    <r>
      <rPr>
        <b/>
        <i/>
        <sz val="10"/>
        <color rgb="FF000000"/>
        <rFont val="Arial"/>
        <charset val="134"/>
      </rPr>
      <t xml:space="preserve">Msg ID
</t>
    </r>
    <r>
      <rPr>
        <b/>
        <i/>
        <sz val="10"/>
        <rFont val="宋体"/>
        <charset val="134"/>
      </rPr>
      <t>报文标识符</t>
    </r>
  </si>
  <si>
    <r>
      <rPr>
        <b/>
        <i/>
        <sz val="10"/>
        <color rgb="FF000000"/>
        <rFont val="Arial"/>
        <charset val="134"/>
      </rPr>
      <t xml:space="preserve">Msg Send Type
</t>
    </r>
    <r>
      <rPr>
        <b/>
        <i/>
        <sz val="10"/>
        <rFont val="宋体"/>
        <charset val="134"/>
      </rPr>
      <t>报文发送类型</t>
    </r>
  </si>
  <si>
    <r>
      <rPr>
        <b/>
        <i/>
        <sz val="10"/>
        <color rgb="FF000000"/>
        <rFont val="Arial"/>
        <charset val="134"/>
      </rPr>
      <t xml:space="preserve">Msg Cycle Time (ms)
</t>
    </r>
    <r>
      <rPr>
        <b/>
        <i/>
        <sz val="10"/>
        <rFont val="宋体"/>
        <charset val="134"/>
      </rPr>
      <t>报文周期时间</t>
    </r>
  </si>
  <si>
    <r>
      <rPr>
        <b/>
        <i/>
        <sz val="10"/>
        <color rgb="FF000000"/>
        <rFont val="Arial"/>
        <charset val="134"/>
      </rPr>
      <t xml:space="preserve">Msg Length (Byte)
</t>
    </r>
    <r>
      <rPr>
        <b/>
        <i/>
        <sz val="10"/>
        <rFont val="宋体"/>
        <charset val="134"/>
      </rPr>
      <t>报文长度</t>
    </r>
  </si>
  <si>
    <r>
      <rPr>
        <b/>
        <i/>
        <sz val="10"/>
        <color rgb="FF000000"/>
        <rFont val="Arial"/>
        <charset val="134"/>
      </rPr>
      <t xml:space="preserve">Signal Name
</t>
    </r>
    <r>
      <rPr>
        <b/>
        <i/>
        <sz val="10"/>
        <rFont val="宋体"/>
        <charset val="134"/>
      </rPr>
      <t>信号名称</t>
    </r>
  </si>
  <si>
    <r>
      <rPr>
        <b/>
        <i/>
        <sz val="10"/>
        <color rgb="FF000000"/>
        <rFont val="Arial"/>
        <charset val="134"/>
      </rPr>
      <t xml:space="preserve">Signal Description
</t>
    </r>
    <r>
      <rPr>
        <b/>
        <i/>
        <sz val="10"/>
        <rFont val="宋体"/>
        <charset val="134"/>
      </rPr>
      <t>信号描述</t>
    </r>
  </si>
  <si>
    <r>
      <rPr>
        <b/>
        <i/>
        <sz val="10"/>
        <color rgb="FF000000"/>
        <rFont val="Arial"/>
        <charset val="134"/>
      </rPr>
      <t xml:space="preserve">Byte Order
</t>
    </r>
    <r>
      <rPr>
        <b/>
        <i/>
        <sz val="10"/>
        <color indexed="8"/>
        <rFont val="宋体"/>
        <charset val="134"/>
      </rPr>
      <t>排列格式</t>
    </r>
    <r>
      <rPr>
        <b/>
        <i/>
        <sz val="10"/>
        <color indexed="8"/>
        <rFont val="Arial"/>
        <charset val="134"/>
      </rPr>
      <t>(Intel/Motorola)</t>
    </r>
  </si>
  <si>
    <r>
      <rPr>
        <b/>
        <i/>
        <sz val="10"/>
        <color rgb="FF000000"/>
        <rFont val="Arial"/>
        <charset val="134"/>
      </rPr>
      <t xml:space="preserve">Start Byte
</t>
    </r>
    <r>
      <rPr>
        <b/>
        <i/>
        <sz val="10"/>
        <rFont val="宋体"/>
        <charset val="134"/>
      </rPr>
      <t>起始字节</t>
    </r>
  </si>
  <si>
    <r>
      <rPr>
        <b/>
        <i/>
        <sz val="10"/>
        <color rgb="FF000000"/>
        <rFont val="Arial"/>
        <charset val="134"/>
      </rPr>
      <t xml:space="preserve">Start Bit
</t>
    </r>
    <r>
      <rPr>
        <b/>
        <i/>
        <sz val="10"/>
        <rFont val="宋体"/>
        <charset val="134"/>
      </rPr>
      <t>起始位</t>
    </r>
  </si>
  <si>
    <r>
      <rPr>
        <b/>
        <i/>
        <sz val="10"/>
        <color rgb="FF000000"/>
        <rFont val="Arial"/>
        <charset val="134"/>
      </rPr>
      <t xml:space="preserve">Signal Send Type
</t>
    </r>
    <r>
      <rPr>
        <b/>
        <i/>
        <sz val="10"/>
        <rFont val="宋体"/>
        <charset val="134"/>
      </rPr>
      <t>信号发送类型</t>
    </r>
  </si>
  <si>
    <r>
      <rPr>
        <b/>
        <i/>
        <sz val="10"/>
        <color rgb="FF000000"/>
        <rFont val="Arial"/>
        <charset val="134"/>
      </rPr>
      <t xml:space="preserve">Bit Length (Bit)
</t>
    </r>
    <r>
      <rPr>
        <b/>
        <i/>
        <sz val="10"/>
        <rFont val="宋体"/>
        <charset val="134"/>
      </rPr>
      <t>信号长度</t>
    </r>
  </si>
  <si>
    <r>
      <rPr>
        <b/>
        <i/>
        <sz val="10"/>
        <color rgb="FF000000"/>
        <rFont val="Arial"/>
        <charset val="134"/>
      </rPr>
      <t xml:space="preserve">Data Type
</t>
    </r>
    <r>
      <rPr>
        <b/>
        <i/>
        <sz val="10"/>
        <rFont val="宋体"/>
        <charset val="134"/>
      </rPr>
      <t>数据类型</t>
    </r>
  </si>
  <si>
    <r>
      <rPr>
        <b/>
        <i/>
        <sz val="10"/>
        <color rgb="FF000000"/>
        <rFont val="Arial"/>
        <charset val="134"/>
      </rPr>
      <t xml:space="preserve">Resolution
</t>
    </r>
    <r>
      <rPr>
        <b/>
        <i/>
        <sz val="10"/>
        <rFont val="宋体"/>
        <charset val="134"/>
      </rPr>
      <t>精度</t>
    </r>
  </si>
  <si>
    <r>
      <rPr>
        <b/>
        <i/>
        <sz val="10"/>
        <color rgb="FF000000"/>
        <rFont val="Arial"/>
        <charset val="134"/>
      </rPr>
      <t xml:space="preserve">Offset
</t>
    </r>
    <r>
      <rPr>
        <b/>
        <i/>
        <sz val="10"/>
        <rFont val="宋体"/>
        <charset val="134"/>
      </rPr>
      <t>偏移量</t>
    </r>
  </si>
  <si>
    <r>
      <rPr>
        <b/>
        <i/>
        <sz val="10"/>
        <color rgb="FF000000"/>
        <rFont val="Arial"/>
        <charset val="134"/>
      </rPr>
      <t xml:space="preserve">Signal Min. Value (phys)
</t>
    </r>
    <r>
      <rPr>
        <b/>
        <i/>
        <sz val="10"/>
        <rFont val="宋体"/>
        <charset val="134"/>
      </rPr>
      <t>物理最小值</t>
    </r>
  </si>
  <si>
    <r>
      <t xml:space="preserve">Signal Max. Value(phys)
</t>
    </r>
    <r>
      <rPr>
        <b/>
        <i/>
        <sz val="10"/>
        <rFont val="宋体"/>
        <charset val="134"/>
      </rPr>
      <t>物理最大值</t>
    </r>
  </si>
  <si>
    <r>
      <t xml:space="preserve">Signal Min. Value (Hex)
</t>
    </r>
    <r>
      <rPr>
        <b/>
        <i/>
        <sz val="10"/>
        <rFont val="宋体"/>
        <charset val="134"/>
      </rPr>
      <t>总线最小值</t>
    </r>
  </si>
  <si>
    <r>
      <rPr>
        <b/>
        <i/>
        <sz val="10"/>
        <color rgb="FF000000"/>
        <rFont val="Arial"/>
        <charset val="134"/>
      </rPr>
      <t xml:space="preserve">Signal Max. Value(Hex)
</t>
    </r>
    <r>
      <rPr>
        <b/>
        <i/>
        <sz val="10"/>
        <rFont val="宋体"/>
        <charset val="134"/>
      </rPr>
      <t>总线最大值</t>
    </r>
  </si>
  <si>
    <r>
      <rPr>
        <b/>
        <i/>
        <sz val="10"/>
        <color rgb="FF000000"/>
        <rFont val="Arial"/>
        <charset val="134"/>
      </rPr>
      <t xml:space="preserve">Initial Value(Hex)
</t>
    </r>
    <r>
      <rPr>
        <b/>
        <i/>
        <sz val="10"/>
        <rFont val="宋体"/>
        <charset val="134"/>
      </rPr>
      <t>初始值</t>
    </r>
  </si>
  <si>
    <r>
      <rPr>
        <b/>
        <i/>
        <sz val="10"/>
        <color rgb="FF000000"/>
        <rFont val="Arial"/>
        <charset val="134"/>
      </rPr>
      <t>Invalid Value(Hex)</t>
    </r>
    <r>
      <rPr>
        <b/>
        <i/>
        <sz val="10"/>
        <rFont val="宋体"/>
        <charset val="134"/>
      </rPr>
      <t>无效值</t>
    </r>
  </si>
  <si>
    <r>
      <rPr>
        <b/>
        <i/>
        <sz val="10"/>
        <color rgb="FF000000"/>
        <rFont val="Arial"/>
        <charset val="134"/>
      </rPr>
      <t xml:space="preserve">Inactive Value(Hex)
</t>
    </r>
    <r>
      <rPr>
        <b/>
        <i/>
        <sz val="10"/>
        <rFont val="宋体"/>
        <charset val="134"/>
      </rPr>
      <t>非使能值</t>
    </r>
  </si>
  <si>
    <r>
      <rPr>
        <b/>
        <i/>
        <sz val="10"/>
        <color rgb="FF000000"/>
        <rFont val="Arial"/>
        <charset val="134"/>
      </rPr>
      <t xml:space="preserve">Unit
</t>
    </r>
    <r>
      <rPr>
        <b/>
        <i/>
        <sz val="10"/>
        <rFont val="宋体"/>
        <charset val="134"/>
      </rPr>
      <t>单位</t>
    </r>
  </si>
  <si>
    <r>
      <rPr>
        <b/>
        <i/>
        <sz val="10"/>
        <color rgb="FF000000"/>
        <rFont val="Arial"/>
        <charset val="134"/>
      </rPr>
      <t xml:space="preserve">Signal Value Description
</t>
    </r>
    <r>
      <rPr>
        <b/>
        <i/>
        <sz val="10"/>
        <rFont val="宋体"/>
        <charset val="134"/>
      </rPr>
      <t>信号值描述</t>
    </r>
  </si>
  <si>
    <t>CGW</t>
  </si>
  <si>
    <t>CBCU5</t>
  </si>
  <si>
    <t>HU</t>
  </si>
  <si>
    <t>ACM</t>
  </si>
  <si>
    <t>PEPS</t>
  </si>
  <si>
    <t>ESCL</t>
  </si>
  <si>
    <t>RLS</t>
  </si>
  <si>
    <t>TPMS</t>
  </si>
  <si>
    <t>DTCO</t>
  </si>
  <si>
    <t>EDR</t>
  </si>
  <si>
    <t>CMS_L</t>
  </si>
  <si>
    <t>CMS_R</t>
  </si>
  <si>
    <t>DMS</t>
  </si>
  <si>
    <t>统计</t>
  </si>
  <si>
    <t>IVICtrCLM</t>
  </si>
  <si>
    <t>CAN Extended</t>
  </si>
  <si>
    <t>0x18FFCC17</t>
  </si>
  <si>
    <t>Cycle</t>
  </si>
  <si>
    <t>R</t>
  </si>
  <si>
    <t>T</t>
  </si>
  <si>
    <t>CLMSw</t>
  </si>
  <si>
    <t>前空调开关</t>
  </si>
  <si>
    <t>Intel</t>
  </si>
  <si>
    <t>unsigned</t>
  </si>
  <si>
    <t>0x0</t>
  </si>
  <si>
    <t>0x3</t>
  </si>
  <si>
    <t>0x0:OFF 
0x1:ON
0x2:Reserved
0x3:Take No Action</t>
  </si>
  <si>
    <t>ACSw</t>
  </si>
  <si>
    <t>AC开关</t>
  </si>
  <si>
    <t>AutoSw</t>
  </si>
  <si>
    <t>AUTO开关</t>
  </si>
  <si>
    <t>CirculationSw</t>
  </si>
  <si>
    <t>内外循环</t>
  </si>
  <si>
    <t>0x0:fresh mode
0x1:recirc mode
0x2:Reserved
0x3:Take No Action</t>
  </si>
  <si>
    <t>FanModeSw</t>
  </si>
  <si>
    <t>MODE开关（吹面，吹面吹脚，吹脚，吹脚除霜，强除霜）</t>
  </si>
  <si>
    <t>0xF</t>
  </si>
  <si>
    <t>0x0:face 
0x1:face-foot
0x2:foot
0x3:foot - defrost
0x4:defrost（强除霜）
0x5~0xE:not used
0xF：Take No Action</t>
  </si>
  <si>
    <t>BlowerSw</t>
  </si>
  <si>
    <t>风量挡位（0-7，精度1）</t>
  </si>
  <si>
    <t>0x0:0
0x1:1
0x2:2
0x3:3
0x4:4
0x5:5
0x6:6
0x7:7
0x8~0xE:not used
0xF：NotAvailable</t>
  </si>
  <si>
    <t>TempSw</t>
  </si>
  <si>
    <t>温度挡位（16-32，精度0.5度）</t>
  </si>
  <si>
    <t>0xFF</t>
  </si>
  <si>
    <t>0xFF：NotAvailable</t>
  </si>
  <si>
    <t>LeftBrightnessAdj</t>
  </si>
  <si>
    <t>手动亮度调节（左）</t>
  </si>
  <si>
    <t>Intel Standard</t>
  </si>
  <si>
    <t>0x0:intial
0x1:level1
0x2:level2
0x3:level3
0x4:level4
0x5:level5
0x6:level6
0x7:level7
0x8:level8
0x9:level9
0xA:level10
0xB-0xF:Reserved</t>
  </si>
  <si>
    <t>VisualAssistanceEnable</t>
  </si>
  <si>
    <t>临时视野辅助使能开关</t>
  </si>
  <si>
    <t>0x0:Intial Value
0x1:ON
0x2:OFF
0x3:Reserved</t>
  </si>
  <si>
    <t>BrightnessAutoSW</t>
  </si>
  <si>
    <t>亮度自动调节开关</t>
  </si>
  <si>
    <t>RearMirrorHeat</t>
  </si>
  <si>
    <t>后视镜摄像头自动加热开关</t>
  </si>
  <si>
    <t>LeftTailMarkingAdjSelect</t>
  </si>
  <si>
    <t>左侧尾部标线调节选择开关</t>
  </si>
  <si>
    <t>RightTailMarkingAdjSelect</t>
  </si>
  <si>
    <t>右侧尾部标线调节选择开关</t>
  </si>
  <si>
    <t>TailMarkingAdjSignal</t>
  </si>
  <si>
    <t>尾部标线调节信号</t>
  </si>
  <si>
    <t>0x0:Intial Value
0x1:UP
0x2:Down
0x3:Reserved</t>
  </si>
  <si>
    <t>CMSReset</t>
  </si>
  <si>
    <t>电子后视镜默认视野恢复开关</t>
  </si>
  <si>
    <t>DistanceAssistanceSW</t>
  </si>
  <si>
    <t>车距辅助开关</t>
  </si>
  <si>
    <t>RightBrightnessAdj</t>
  </si>
  <si>
    <t>手动亮度调节（右）</t>
  </si>
  <si>
    <t>NegativeIonGeneratorSw</t>
  </si>
  <si>
    <t>负离子发生器开关</t>
  </si>
  <si>
    <t>0x0:0FF
0x1:0N
0x2:Reserved
0x3:Take No Action</t>
  </si>
  <si>
    <t>AirIndependentHeaterSW</t>
  </si>
  <si>
    <t>空气式独立热源开关</t>
  </si>
  <si>
    <t>BCM_CMSCtrl</t>
  </si>
  <si>
    <t>0x18FC2021</t>
  </si>
  <si>
    <t>BCM_CMSAdj</t>
  </si>
  <si>
    <t>电子后视镜调节</t>
  </si>
  <si>
    <t>0x7</t>
  </si>
  <si>
    <t>BCM_CMSSel</t>
  </si>
  <si>
    <t>电子后视镜左右选择</t>
  </si>
  <si>
    <t>BCM_CMSWake</t>
  </si>
  <si>
    <t>一键开启电子后视镜</t>
  </si>
  <si>
    <t>0x1</t>
  </si>
  <si>
    <t>BCM_CMSReset</t>
  </si>
  <si>
    <t>电子后视镜默认视野恢复及尾部标记线调节</t>
  </si>
  <si>
    <t>BCM_CMSHeat</t>
  </si>
  <si>
    <t>电子后视镜加热</t>
  </si>
  <si>
    <t>BCM_9</t>
  </si>
  <si>
    <t>0x18F6821F</t>
  </si>
  <si>
    <t>PowerGear</t>
  </si>
  <si>
    <t>电源档位</t>
  </si>
  <si>
    <r>
      <rPr>
        <sz val="10"/>
        <rFont val="Arial"/>
        <charset val="134"/>
      </rPr>
      <t xml:space="preserve">0x0:  </t>
    </r>
    <r>
      <rPr>
        <sz val="10"/>
        <rFont val="宋体"/>
        <charset val="134"/>
      </rPr>
      <t>无效</t>
    </r>
    <r>
      <rPr>
        <sz val="10"/>
        <rFont val="Arial"/>
        <charset val="134"/>
      </rPr>
      <t xml:space="preserve">
0x1: OFF
0x2: ACC
0x3: ON
0x4-0xE: </t>
    </r>
    <r>
      <rPr>
        <sz val="10"/>
        <rFont val="宋体"/>
        <charset val="134"/>
      </rPr>
      <t>预留</t>
    </r>
    <r>
      <rPr>
        <sz val="10"/>
        <rFont val="Arial"/>
        <charset val="134"/>
      </rPr>
      <t xml:space="preserve">
0xF:</t>
    </r>
    <r>
      <rPr>
        <sz val="10"/>
        <rFont val="宋体"/>
        <charset val="134"/>
      </rPr>
      <t>不可用</t>
    </r>
  </si>
  <si>
    <t>CMSL_State1</t>
  </si>
  <si>
    <t>0x18FF21A7</t>
  </si>
  <si>
    <t>CMSL</t>
  </si>
  <si>
    <t>CMSL_ScrnBriLeSts</t>
  </si>
  <si>
    <t>CMSL亮度反馈</t>
  </si>
  <si>
    <r>
      <rPr>
        <sz val="10"/>
        <rFont val="Arial"/>
        <charset val="134"/>
      </rPr>
      <t xml:space="preserve">0x0: </t>
    </r>
    <r>
      <rPr>
        <sz val="10"/>
        <rFont val="宋体"/>
        <charset val="134"/>
      </rPr>
      <t>初始</t>
    </r>
    <r>
      <rPr>
        <sz val="10"/>
        <rFont val="Arial"/>
        <charset val="134"/>
      </rPr>
      <t>;
0x1</t>
    </r>
    <r>
      <rPr>
        <sz val="10"/>
        <rFont val="宋体"/>
        <charset val="134"/>
      </rPr>
      <t>：</t>
    </r>
    <r>
      <rPr>
        <sz val="10"/>
        <rFont val="Arial"/>
        <charset val="134"/>
      </rPr>
      <t>Level1; 
0x2</t>
    </r>
    <r>
      <rPr>
        <sz val="10"/>
        <rFont val="宋体"/>
        <charset val="134"/>
      </rPr>
      <t>：</t>
    </r>
    <r>
      <rPr>
        <sz val="10"/>
        <rFont val="Arial"/>
        <charset val="134"/>
      </rPr>
      <t>Level2;  
0x3</t>
    </r>
    <r>
      <rPr>
        <sz val="10"/>
        <rFont val="宋体"/>
        <charset val="134"/>
      </rPr>
      <t>：</t>
    </r>
    <r>
      <rPr>
        <sz val="10"/>
        <rFont val="Arial"/>
        <charset val="134"/>
      </rPr>
      <t>Level3; 
0x4</t>
    </r>
    <r>
      <rPr>
        <sz val="10"/>
        <rFont val="宋体"/>
        <charset val="134"/>
      </rPr>
      <t>：</t>
    </r>
    <r>
      <rPr>
        <sz val="10"/>
        <rFont val="Arial"/>
        <charset val="134"/>
      </rPr>
      <t>Level4;
0x5</t>
    </r>
    <r>
      <rPr>
        <sz val="10"/>
        <rFont val="宋体"/>
        <charset val="134"/>
      </rPr>
      <t>：</t>
    </r>
    <r>
      <rPr>
        <sz val="10"/>
        <rFont val="Arial"/>
        <charset val="134"/>
      </rPr>
      <t>Level5; 
0x6</t>
    </r>
    <r>
      <rPr>
        <sz val="10"/>
        <rFont val="宋体"/>
        <charset val="134"/>
      </rPr>
      <t>：</t>
    </r>
    <r>
      <rPr>
        <sz val="10"/>
        <rFont val="Arial"/>
        <charset val="134"/>
      </rPr>
      <t>Level6;  
0x7</t>
    </r>
    <r>
      <rPr>
        <sz val="10"/>
        <rFont val="宋体"/>
        <charset val="134"/>
      </rPr>
      <t>：</t>
    </r>
    <r>
      <rPr>
        <sz val="10"/>
        <rFont val="Arial"/>
        <charset val="134"/>
      </rPr>
      <t>Level7; 
0x8</t>
    </r>
    <r>
      <rPr>
        <sz val="10"/>
        <rFont val="宋体"/>
        <charset val="134"/>
      </rPr>
      <t>：</t>
    </r>
    <r>
      <rPr>
        <sz val="10"/>
        <rFont val="Arial"/>
        <charset val="134"/>
      </rPr>
      <t>Level8;
0x9</t>
    </r>
    <r>
      <rPr>
        <sz val="10"/>
        <rFont val="宋体"/>
        <charset val="134"/>
      </rPr>
      <t>：</t>
    </r>
    <r>
      <rPr>
        <sz val="10"/>
        <rFont val="Arial"/>
        <charset val="134"/>
      </rPr>
      <t>Level9;  
0xA</t>
    </r>
    <r>
      <rPr>
        <sz val="10"/>
        <rFont val="宋体"/>
        <charset val="134"/>
      </rPr>
      <t>：</t>
    </r>
    <r>
      <rPr>
        <sz val="10"/>
        <rFont val="Arial"/>
        <charset val="134"/>
      </rPr>
      <t>Level10; 
0xF</t>
    </r>
    <r>
      <rPr>
        <sz val="10"/>
        <rFont val="宋体"/>
        <charset val="134"/>
      </rPr>
      <t>：</t>
    </r>
    <r>
      <rPr>
        <sz val="10"/>
        <rFont val="Arial"/>
        <charset val="134"/>
      </rPr>
      <t>Invalid</t>
    </r>
  </si>
  <si>
    <t>CMSL_VisualAssistanceSwFb</t>
  </si>
  <si>
    <t>临时视野辅助功能开/关使能反馈</t>
  </si>
  <si>
    <t>0x0：Initial
0x1：ON
0x2:OFF
0x3:Reserved</t>
  </si>
  <si>
    <t>CMSL_CmsFactryRstLeSts</t>
  </si>
  <si>
    <t>CMSL一键复位设置反馈</t>
  </si>
  <si>
    <t>0x0：Initial
0x1：Reset Succeed
0x2:Reset Fault
0x3:Reserved</t>
  </si>
  <si>
    <t>CMSL_ScrnBriAutoAdjSts</t>
  </si>
  <si>
    <t>CMSL自动亮度调节设置反馈</t>
  </si>
  <si>
    <t>0x0:Initial
0x1:ON
0x2:OFF
0x3:Reserved</t>
  </si>
  <si>
    <t>CMSL_ViewAdjSelSts</t>
  </si>
  <si>
    <t>CMSL视野调节选定状态</t>
  </si>
  <si>
    <t>0x0:Initial
0x1:Select
0x2:Not select
0x3:Reserved</t>
  </si>
  <si>
    <t>CMSL_TrailMarkigAdjSelect</t>
  </si>
  <si>
    <t>CMSL尾部标线调节选定状态反馈</t>
  </si>
  <si>
    <t>CMSL_ManualHeatFB</t>
  </si>
  <si>
    <t>CMSL手动加热状态反馈</t>
  </si>
  <si>
    <t>0x0:Initial
0x1:OFF
0x2:ON
0x3:Reserved</t>
  </si>
  <si>
    <t>CMSL_AutomaticHeatingFB</t>
  </si>
  <si>
    <t>CMSL自动加热状态反馈</t>
  </si>
  <si>
    <t>CMSL_DistanceAssistanceFB</t>
  </si>
  <si>
    <t>CMSL车距辅助功能状态反馈</t>
  </si>
  <si>
    <t>CMSL_AdjustStateFB</t>
  </si>
  <si>
    <r>
      <rPr>
        <sz val="10"/>
        <rFont val="Arial"/>
        <charset val="134"/>
      </rPr>
      <t>CMSL</t>
    </r>
    <r>
      <rPr>
        <sz val="10"/>
        <rFont val="宋体"/>
        <charset val="134"/>
      </rPr>
      <t>调节状态反馈</t>
    </r>
  </si>
  <si>
    <r>
      <rPr>
        <sz val="10"/>
        <rFont val="Arial"/>
        <charset val="134"/>
      </rPr>
      <t>0x0</t>
    </r>
    <r>
      <rPr>
        <sz val="10"/>
        <rFont val="宋体"/>
        <charset val="134"/>
      </rPr>
      <t>：初始</t>
    </r>
    <r>
      <rPr>
        <sz val="10"/>
        <rFont val="Arial"/>
        <charset val="134"/>
      </rPr>
      <t>;
0x1</t>
    </r>
    <r>
      <rPr>
        <sz val="10"/>
        <rFont val="宋体"/>
        <charset val="134"/>
      </rPr>
      <t>：向上调节</t>
    </r>
    <r>
      <rPr>
        <sz val="10"/>
        <rFont val="Arial"/>
        <charset val="134"/>
      </rPr>
      <t>; 
0x2</t>
    </r>
    <r>
      <rPr>
        <sz val="10"/>
        <rFont val="宋体"/>
        <charset val="134"/>
      </rPr>
      <t>：向下调节</t>
    </r>
    <r>
      <rPr>
        <sz val="10"/>
        <rFont val="Arial"/>
        <charset val="134"/>
      </rPr>
      <t>;  
0x3</t>
    </r>
    <r>
      <rPr>
        <sz val="10"/>
        <rFont val="宋体"/>
        <charset val="134"/>
      </rPr>
      <t>：向左调节</t>
    </r>
    <r>
      <rPr>
        <sz val="10"/>
        <rFont val="Arial"/>
        <charset val="134"/>
      </rPr>
      <t>; 
0x4</t>
    </r>
    <r>
      <rPr>
        <sz val="10"/>
        <rFont val="宋体"/>
        <charset val="134"/>
      </rPr>
      <t>：向右调节</t>
    </r>
    <r>
      <rPr>
        <sz val="10"/>
        <rFont val="Arial"/>
        <charset val="134"/>
      </rPr>
      <t>;
0x5</t>
    </r>
    <r>
      <rPr>
        <sz val="10"/>
        <rFont val="宋体"/>
        <charset val="134"/>
      </rPr>
      <t>：</t>
    </r>
    <r>
      <rPr>
        <sz val="10"/>
        <rFont val="Arial"/>
        <charset val="134"/>
      </rPr>
      <t>Error</t>
    </r>
  </si>
  <si>
    <t>CMSL_HotSwapState</t>
  </si>
  <si>
    <t>CMSL热插拔状态信息</t>
  </si>
  <si>
    <t>0x0：Initial
0x1：Cammera Disconnected
0x2:Display Disconnected
0x3:Cammera And Display Disconnected
0x4-0x7:Reserved</t>
  </si>
  <si>
    <t>CMSL_SystemState</t>
  </si>
  <si>
    <t>CMSL系统状态</t>
  </si>
  <si>
    <t>0x0：Initial
0x1：Normal
0x2:Error
0x3:Reserved</t>
  </si>
  <si>
    <t>CMSR_State2</t>
  </si>
  <si>
    <t>0x18FF21A4</t>
  </si>
  <si>
    <t>CMSR</t>
  </si>
  <si>
    <t>CMSR_ScrnBriRiSts</t>
  </si>
  <si>
    <t>CMSR亮度反馈</t>
  </si>
  <si>
    <t>0x0: 初始;
0x1：Level1; 
0x2：Level2;  
0x3：Level3; 
0x4：Level4;
0x5：Level5; 
0x6：Level6;  
0x7：Level7; 
0x8：Level8;
0x9：Level9;  
0xA：Level10; 
0xF：Invalid</t>
  </si>
  <si>
    <t>CMSR_VisualAssistanceSwFb</t>
  </si>
  <si>
    <t>CMSR_临时视野辅助功能开/关使能反馈</t>
  </si>
  <si>
    <t>CMSR_CmsFactryRstRiSts</t>
  </si>
  <si>
    <t>CMSR一键复位设置反馈</t>
  </si>
  <si>
    <t>CMSR_ScrnBriAutoAdjSts</t>
  </si>
  <si>
    <t>CMSR自动亮度调节设置反馈</t>
  </si>
  <si>
    <t>CMSR_ViewAdjSelSts</t>
  </si>
  <si>
    <t>CMSR视野调节选定状态</t>
  </si>
  <si>
    <t>CMSR_TrailMarkigAdjSelect</t>
  </si>
  <si>
    <t>CMSR尾部标线调节选定状态反馈</t>
  </si>
  <si>
    <t>CMSR_ManualHeatFB</t>
  </si>
  <si>
    <t>CMSR手动加热状态反馈</t>
  </si>
  <si>
    <t>CMSR_AutomaticHeatingFB</t>
  </si>
  <si>
    <t>CMSR自动加热状态反馈</t>
  </si>
  <si>
    <t>CMSR_DistanceAssistanceFB</t>
  </si>
  <si>
    <t>CMSR车距辅助功能状态反馈</t>
  </si>
  <si>
    <t>CMSR_AdjustStateFB</t>
  </si>
  <si>
    <r>
      <rPr>
        <sz val="10"/>
        <rFont val="Arial"/>
        <charset val="134"/>
      </rPr>
      <t>CMSR</t>
    </r>
    <r>
      <rPr>
        <sz val="10"/>
        <rFont val="宋体"/>
        <charset val="134"/>
      </rPr>
      <t>调节状态反馈</t>
    </r>
  </si>
  <si>
    <t>CMSR_HotSwapState</t>
  </si>
  <si>
    <t>CMSR热插拔状态信息</t>
  </si>
  <si>
    <t>CMSR_SystemState</t>
  </si>
  <si>
    <t>CMSR系统状态</t>
  </si>
  <si>
    <t>VCU2IC_C127</t>
  </si>
  <si>
    <t>0x18FFC127</t>
  </si>
  <si>
    <t>VCU</t>
  </si>
  <si>
    <t>Vu8VC_VeloShow_mph</t>
  </si>
  <si>
    <t>当前车速</t>
  </si>
  <si>
    <t>km/h</t>
  </si>
  <si>
    <t>Vu8IGM_GearSta</t>
  </si>
  <si>
    <t>当前挡位</t>
  </si>
  <si>
    <r>
      <rPr>
        <sz val="10"/>
        <rFont val="Arial"/>
        <charset val="134"/>
      </rPr>
      <t>0x0:</t>
    </r>
    <r>
      <rPr>
        <sz val="10"/>
        <rFont val="SimSun"/>
        <charset val="134"/>
      </rPr>
      <t>空挡</t>
    </r>
    <r>
      <rPr>
        <sz val="10"/>
        <rFont val="Arial"/>
        <charset val="134"/>
      </rPr>
      <t>N
0x1</t>
    </r>
    <r>
      <rPr>
        <sz val="10"/>
        <rFont val="SimSun"/>
        <charset val="134"/>
      </rPr>
      <t>:前进挡</t>
    </r>
    <r>
      <rPr>
        <sz val="10"/>
        <rFont val="Arial"/>
        <charset val="134"/>
      </rPr>
      <t>D
0x2</t>
    </r>
    <r>
      <rPr>
        <sz val="10"/>
        <rFont val="SimSun"/>
        <charset val="134"/>
      </rPr>
      <t>：倒挡</t>
    </r>
    <r>
      <rPr>
        <sz val="10"/>
        <rFont val="Arial"/>
        <charset val="134"/>
      </rPr>
      <t>R
0x3</t>
    </r>
    <r>
      <rPr>
        <sz val="10"/>
        <rFont val="SimSun"/>
        <charset val="134"/>
      </rPr>
      <t>：</t>
    </r>
    <r>
      <rPr>
        <sz val="10"/>
        <rFont val="Arial"/>
        <charset val="134"/>
      </rPr>
      <t>L</t>
    </r>
    <r>
      <rPr>
        <sz val="10"/>
        <rFont val="SimSun"/>
        <charset val="134"/>
      </rPr>
      <t>挡</t>
    </r>
  </si>
  <si>
    <t>VehicleSta</t>
  </si>
  <si>
    <t>车辆状态
1：STOP(红色)
2：READY（绿色）
3：GO（绿色）</t>
  </si>
  <si>
    <r>
      <rPr>
        <sz val="10"/>
        <rFont val="Arial"/>
        <charset val="134"/>
      </rPr>
      <t>0x1:STOP(</t>
    </r>
    <r>
      <rPr>
        <sz val="10"/>
        <rFont val="SimSun"/>
        <charset val="134"/>
      </rPr>
      <t>红色</t>
    </r>
    <r>
      <rPr>
        <sz val="10"/>
        <rFont val="Arial"/>
        <charset val="134"/>
      </rPr>
      <t>)
0x2:READY</t>
    </r>
    <r>
      <rPr>
        <sz val="10"/>
        <rFont val="SimSun"/>
        <charset val="134"/>
      </rPr>
      <t>（绿色）</t>
    </r>
    <r>
      <rPr>
        <sz val="10"/>
        <rFont val="Arial"/>
        <charset val="134"/>
      </rPr>
      <t xml:space="preserve">
0x3:GO</t>
    </r>
    <r>
      <rPr>
        <sz val="10"/>
        <rFont val="SimSun"/>
        <charset val="134"/>
      </rPr>
      <t>（绿色）</t>
    </r>
  </si>
  <si>
    <t>RetardeSta</t>
  </si>
  <si>
    <t>缓速器状态
0： 不显示
1:   缓速器工作， 显示缓速器工作， 绿色
2:   缓速器不可用， 显示红色故障
3:  显示白色符号片（不处理）</t>
  </si>
  <si>
    <r>
      <rPr>
        <sz val="10"/>
        <rFont val="Arial"/>
        <charset val="134"/>
      </rPr>
      <t>0x0</t>
    </r>
    <r>
      <rPr>
        <sz val="10"/>
        <rFont val="SimSun"/>
        <charset val="134"/>
      </rPr>
      <t>：</t>
    </r>
    <r>
      <rPr>
        <sz val="10"/>
        <rFont val="Arial"/>
        <charset val="134"/>
      </rPr>
      <t xml:space="preserve"> </t>
    </r>
    <r>
      <rPr>
        <sz val="10"/>
        <rFont val="SimSun"/>
        <charset val="134"/>
      </rPr>
      <t>不显示</t>
    </r>
    <r>
      <rPr>
        <sz val="10"/>
        <rFont val="Arial"/>
        <charset val="134"/>
      </rPr>
      <t xml:space="preserve">
0x1:   </t>
    </r>
    <r>
      <rPr>
        <sz val="10"/>
        <rFont val="SimSun"/>
        <charset val="134"/>
      </rPr>
      <t>缓速器工作，</t>
    </r>
    <r>
      <rPr>
        <sz val="10"/>
        <rFont val="Arial"/>
        <charset val="134"/>
      </rPr>
      <t xml:space="preserve"> </t>
    </r>
    <r>
      <rPr>
        <sz val="10"/>
        <rFont val="SimSun"/>
        <charset val="134"/>
      </rPr>
      <t>显示缓速器工作，</t>
    </r>
    <r>
      <rPr>
        <sz val="10"/>
        <rFont val="Arial"/>
        <charset val="134"/>
      </rPr>
      <t xml:space="preserve"> </t>
    </r>
    <r>
      <rPr>
        <sz val="10"/>
        <rFont val="SimSun"/>
        <charset val="134"/>
      </rPr>
      <t>绿色</t>
    </r>
    <r>
      <rPr>
        <sz val="10"/>
        <rFont val="Arial"/>
        <charset val="134"/>
      </rPr>
      <t xml:space="preserve">
0x2:   </t>
    </r>
    <r>
      <rPr>
        <sz val="10"/>
        <rFont val="SimSun"/>
        <charset val="134"/>
      </rPr>
      <t>缓速器不可用，</t>
    </r>
    <r>
      <rPr>
        <sz val="10"/>
        <rFont val="Arial"/>
        <charset val="134"/>
      </rPr>
      <t xml:space="preserve"> </t>
    </r>
    <r>
      <rPr>
        <sz val="10"/>
        <rFont val="SimSun"/>
        <charset val="134"/>
      </rPr>
      <t>显示红色故障</t>
    </r>
    <r>
      <rPr>
        <sz val="10"/>
        <rFont val="Arial"/>
        <charset val="134"/>
      </rPr>
      <t xml:space="preserve">
0x3:  </t>
    </r>
    <r>
      <rPr>
        <sz val="10"/>
        <rFont val="SimSun"/>
        <charset val="134"/>
      </rPr>
      <t>显示白色符号片（不处理）</t>
    </r>
  </si>
  <si>
    <t>Vu8PRT_PowReduTip</t>
  </si>
  <si>
    <t>降功率符号片显示
0: 不显示
1: 显示黄色小乌龟符号
其他无效</t>
  </si>
  <si>
    <r>
      <rPr>
        <sz val="10"/>
        <rFont val="Arial"/>
        <charset val="134"/>
      </rPr>
      <t xml:space="preserve">0x0: </t>
    </r>
    <r>
      <rPr>
        <sz val="10"/>
        <rFont val="SimSun"/>
        <charset val="134"/>
      </rPr>
      <t>不显示</t>
    </r>
    <r>
      <rPr>
        <sz val="10"/>
        <rFont val="Arial"/>
        <charset val="134"/>
      </rPr>
      <t xml:space="preserve">
0x1: </t>
    </r>
    <r>
      <rPr>
        <sz val="10"/>
        <rFont val="SimSun"/>
        <charset val="134"/>
      </rPr>
      <t>显示黄色小乌龟符号</t>
    </r>
  </si>
  <si>
    <t>V2IC_ChargSTA</t>
  </si>
  <si>
    <t>充电枪连接状态
0: 不显示
1: 显示红色充电枪已连接符号（同时显示油杯符号片和SOC充电电流）
其他无效</t>
  </si>
  <si>
    <r>
      <rPr>
        <sz val="10"/>
        <rFont val="Arial"/>
        <charset val="134"/>
      </rPr>
      <t xml:space="preserve">0x0: </t>
    </r>
    <r>
      <rPr>
        <sz val="10"/>
        <rFont val="SimSun"/>
        <charset val="134"/>
      </rPr>
      <t>不显示</t>
    </r>
    <r>
      <rPr>
        <sz val="10"/>
        <rFont val="Arial"/>
        <charset val="134"/>
      </rPr>
      <t xml:space="preserve">
0x1: </t>
    </r>
    <r>
      <rPr>
        <sz val="10"/>
        <rFont val="SimSun"/>
        <charset val="134"/>
      </rPr>
      <t>显示红色充电枪已连接符号</t>
    </r>
  </si>
  <si>
    <t>V2IC_MotHighTempWarn</t>
  </si>
  <si>
    <t>电机过热报警
0: 不显示
1: 显示红色电机温度高符号
其他无效</t>
  </si>
  <si>
    <r>
      <rPr>
        <sz val="10"/>
        <rFont val="Arial"/>
        <charset val="134"/>
      </rPr>
      <t xml:space="preserve">0x0: </t>
    </r>
    <r>
      <rPr>
        <sz val="10"/>
        <rFont val="SimSun"/>
        <charset val="134"/>
      </rPr>
      <t>不显示</t>
    </r>
    <r>
      <rPr>
        <sz val="10"/>
        <rFont val="Arial"/>
        <charset val="134"/>
      </rPr>
      <t xml:space="preserve">
0x1: </t>
    </r>
    <r>
      <rPr>
        <sz val="10"/>
        <rFont val="SimSun"/>
        <charset val="134"/>
      </rPr>
      <t>显示红色电机温度高符号</t>
    </r>
  </si>
  <si>
    <t>V2IC_VehicleSysErr</t>
  </si>
  <si>
    <t>整车系统故障
0: 不显示
1: 显示红色整车故障符号
其他无效</t>
  </si>
  <si>
    <r>
      <rPr>
        <sz val="10"/>
        <rFont val="Arial"/>
        <charset val="134"/>
      </rPr>
      <t xml:space="preserve">0x0: </t>
    </r>
    <r>
      <rPr>
        <sz val="10"/>
        <rFont val="SimSun"/>
        <charset val="134"/>
      </rPr>
      <t>不显示</t>
    </r>
    <r>
      <rPr>
        <sz val="10"/>
        <rFont val="Arial"/>
        <charset val="134"/>
      </rPr>
      <t xml:space="preserve">
0x1: </t>
    </r>
    <r>
      <rPr>
        <sz val="10"/>
        <rFont val="SimSun"/>
        <charset val="134"/>
      </rPr>
      <t>显示红色整车故障符号</t>
    </r>
  </si>
  <si>
    <t>V2IC_InstatPower</t>
  </si>
  <si>
    <t>瞬时功率</t>
  </si>
  <si>
    <t>0xFFFF</t>
  </si>
  <si>
    <t>V2IC_PowPerct</t>
  </si>
  <si>
    <r>
      <rPr>
        <sz val="12"/>
        <color theme="1"/>
        <rFont val="等线"/>
        <charset val="134"/>
      </rPr>
      <t xml:space="preserve">功率百分比
</t>
    </r>
    <r>
      <rPr>
        <sz val="12"/>
        <color rgb="FFFF0000"/>
        <rFont val="等线"/>
        <charset val="134"/>
      </rPr>
      <t>驱动为正，制动能量回收为负
负值显示为绿色</t>
    </r>
  </si>
  <si>
    <t>%</t>
  </si>
  <si>
    <t>V2IC_MotSpd</t>
  </si>
  <si>
    <r>
      <rPr>
        <sz val="12"/>
        <color theme="1"/>
        <rFont val="等线"/>
        <charset val="134"/>
      </rPr>
      <t>电机转速</t>
    </r>
  </si>
  <si>
    <t>rpm</t>
  </si>
  <si>
    <t>VDC2</t>
  </si>
  <si>
    <t>0x18F0090B</t>
  </si>
  <si>
    <t>mBSP</t>
  </si>
  <si>
    <t>VEBS_StrWhlAngVDC2</t>
  </si>
  <si>
    <t>rad</t>
  </si>
  <si>
    <t>VEBS_StrWhlTurnContVDC2</t>
  </si>
  <si>
    <t>0x3F</t>
  </si>
  <si>
    <t>turn</t>
  </si>
  <si>
    <t>VEBS_StrAngSenTypeVDC2</t>
  </si>
  <si>
    <t>VEBS_YawRateVDC2</t>
  </si>
  <si>
    <t>rad/s</t>
  </si>
  <si>
    <t>VEBS_LateralAccelerVDC2</t>
  </si>
  <si>
    <t>m/ss</t>
  </si>
  <si>
    <t>VEBS_LogitudnAccelerVDC2</t>
  </si>
  <si>
    <t>MP5_Ctrl</t>
  </si>
  <si>
    <t>0x18FFE397</t>
  </si>
  <si>
    <t>MP5_AutoHoldSwt</t>
  </si>
  <si>
    <t>AutoHold开关</t>
  </si>
  <si>
    <t>0x0:无效
0x1:开
0x2:关</t>
  </si>
  <si>
    <t>HU_SmrtBattMaintnCmd</t>
  </si>
  <si>
    <t>智能补电开关</t>
  </si>
  <si>
    <t>HU_OnepedalDrivingMode</t>
  </si>
  <si>
    <t>单踏板模式</t>
  </si>
  <si>
    <t>HU_ExactSteppingMode</t>
  </si>
  <si>
    <t>精准移车模式开关</t>
  </si>
  <si>
    <t>MP5_ECASCtrl</t>
  </si>
  <si>
    <t>ECAS高度调节</t>
  </si>
  <si>
    <t>0x0:take no action
0x1:NarmalAltitude
0x2:Altitude1
0x3:Altitude2
0x4:Reserve
0x5:Reserve
0x6:Reserve
0x7:Reserve
0x8:Reserve
0x9:Reserve
0xA:Reserve
0xB:Reserve
0xC:Reserve
0xD:Reserve
0xE:Reserve
0xF:Reserve</t>
  </si>
  <si>
    <t>AmbienceLightControl</t>
  </si>
  <si>
    <t>氛围灯亮度控制</t>
  </si>
  <si>
    <t>0x0:Init
0x1:Level1
0x2:Level2
0x3:Level3
0x4:Level4
0x5:Level5
0x6:Level6
0x7:Level7
0x8:Level8
0x9:Level9
0xA:Leve10
0xB:Reserve
0xC:Reserve
0xD:Reserve
0xE:Reserve
0xF:Reserve</t>
  </si>
  <si>
    <t>HU_ePTO_cmd</t>
  </si>
  <si>
    <t>ePTO开关</t>
  </si>
  <si>
    <t>0x0:Init
0x1:ON
0x2:OFF
0x3:Invalid</t>
  </si>
  <si>
    <t>Rocking_free_Sw</t>
  </si>
  <si>
    <t>悠车模式开关</t>
  </si>
  <si>
    <t>HU_AmbienceLightSw</t>
  </si>
  <si>
    <t>氛围灯开关</t>
  </si>
  <si>
    <t>HU_SuspensionControlEnabled</t>
  </si>
  <si>
    <t>悬架控制使能</t>
  </si>
  <si>
    <t>MP5_ACCUsageDemand</t>
  </si>
  <si>
    <t>ACC使用需求</t>
  </si>
  <si>
    <t>0x0:driver demand for not using ACC distance keeping control
0x1:driver demand for using ACC distance keeping control
0x2:reserved
0x3:don't care</t>
  </si>
  <si>
    <t>MP5_RequestedACCDistanceMode</t>
  </si>
  <si>
    <t>请求的ACC距离模式</t>
  </si>
  <si>
    <t>0x0:Requested ACC Distance Mode #1
0x1:Requested ACC Distance Mode #2
0x2:Requested ACC Distance Mode #3
0x3:Requested ACC Distance Mode #4
0x4:Requested ACC Distance Mode #5
0x5:not defined
0x6:error condition
0x7:not available</t>
  </si>
  <si>
    <t>HU_PCCSwt</t>
  </si>
  <si>
    <t>PCC开关</t>
  </si>
  <si>
    <t>0x0:Invalid Value
0x1:ON
0x2:OFF
0x3:Reserved</t>
  </si>
  <si>
    <t>HU_PCCUpSpdOfs</t>
  </si>
  <si>
    <t>PCC上速度公差</t>
  </si>
  <si>
    <t>0x0:Invalid Value
0x1:+0km/h
0x2:+1km/h
0x3:+2km/h
0x4:+3km/h
0x5:+4km/h
0x6:+5km/h
0x7:+6km/h
0x8:+7km/h
0x9:+8km/h
0xA:+9km/h
0xB:+10km/h
0xC:Reserved
0xD:Reserved
0xE:Reserved
0xF:Reserved</t>
  </si>
  <si>
    <t>HU_PCCDwSpdOfs</t>
  </si>
  <si>
    <t>PCC下速度公差</t>
  </si>
  <si>
    <t>0x0:Invalid Value
0x1:-0km/h
0x2:-1km/h
0x3:-2km/h
0x4:-3km/h
0x5:-4km/h
0x6:-5km/h
0x7:-6km/h
0x8:-7km/h
0x9:-8km/h
0xA:-9km/h
0xB: -10km/h
0xC:Reserved
0xD:Reserved
0xE:Reserved
0xF:Reserved</t>
  </si>
  <si>
    <t>HU_PCCTrunSpdLevel</t>
  </si>
  <si>
    <t>PCC转弯速度系数等级</t>
  </si>
  <si>
    <t>0x0:Invalid Value
0x1:Level1
0x2:Level2
0x3:Level3
0x4:Level4
0x5:Level5
0x6:Reserved
0x7:Reserved</t>
  </si>
  <si>
    <t>HU_PCCEventCoastLevel</t>
  </si>
  <si>
    <t>PCC事件前滑行等级</t>
  </si>
  <si>
    <t>HU_PCCReset</t>
  </si>
  <si>
    <t>PCC重置</t>
  </si>
  <si>
    <t>0x0:OFF
0x1:ON</t>
  </si>
  <si>
    <t>MP5_FreshAirModeReq</t>
  </si>
  <si>
    <t>通风模式请求</t>
  </si>
  <si>
    <t>0x0:无请求
0x1:请求通风-压缩机状态为关闭
0x2:请求通风-压缩机状态为开启
0x3:预留</t>
  </si>
  <si>
    <t>HU_DriveModeVoiceCtrl</t>
  </si>
  <si>
    <t>驾驶模式语音控制</t>
  </si>
  <si>
    <t>0x0:无请求
0x1:ECO
0x2:Reserved
0x3:Power</t>
  </si>
  <si>
    <t>HU_BattChgPerHeatSwt</t>
  </si>
  <si>
    <t>充电温控开关</t>
  </si>
  <si>
    <t>0x0:init
0x1:开
0x2:关
0x3:invalid</t>
  </si>
  <si>
    <t>HU_DriverRestMode</t>
  </si>
  <si>
    <t>休憩模式开关</t>
  </si>
  <si>
    <t>0x2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</si>
</sst>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8">
    <font>
      <sz val="11"/>
      <color indexed="8"/>
      <name val="Calibri"/>
      <charset val="134"/>
    </font>
    <font>
      <sz val="11"/>
      <color indexed="8"/>
      <name val="宋体"/>
      <charset val="134"/>
    </font>
    <font>
      <b/>
      <i/>
      <sz val="10"/>
      <color rgb="FF000000"/>
      <name val="Arial"/>
      <charset val="134"/>
    </font>
    <font>
      <b/>
      <i/>
      <sz val="10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trike/>
      <sz val="10"/>
      <name val="等线"/>
      <charset val="134"/>
      <scheme val="minor"/>
    </font>
    <font>
      <strike/>
      <sz val="10"/>
      <color theme="1"/>
      <name val="等线"/>
      <charset val="134"/>
      <scheme val="minor"/>
    </font>
    <font>
      <strike/>
      <sz val="10"/>
      <color theme="1"/>
      <name val="Arial"/>
      <charset val="134"/>
    </font>
    <font>
      <strike/>
      <sz val="10"/>
      <name val="Arial"/>
      <charset val="134"/>
    </font>
    <font>
      <strike/>
      <sz val="11"/>
      <color indexed="8"/>
      <name val="宋体"/>
      <charset val="134"/>
    </font>
    <font>
      <sz val="10"/>
      <color theme="1"/>
      <name val="微软雅黑"/>
      <charset val="134"/>
    </font>
    <font>
      <sz val="10"/>
      <name val="宋体"/>
      <charset val="134"/>
    </font>
    <font>
      <b/>
      <i/>
      <sz val="10"/>
      <color theme="1"/>
      <name val="Arial"/>
      <charset val="134"/>
    </font>
    <font>
      <b/>
      <i/>
      <sz val="10"/>
      <name val="仿宋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Tahoma"/>
      <charset val="134"/>
    </font>
    <font>
      <sz val="12"/>
      <name val="新細明體"/>
      <charset val="134"/>
    </font>
    <font>
      <sz val="12"/>
      <name val="宋体"/>
      <charset val="134"/>
    </font>
    <font>
      <sz val="11"/>
      <name val="돋움"/>
      <charset val="129"/>
    </font>
    <font>
      <sz val="10"/>
      <name val="SimSun"/>
      <charset val="134"/>
    </font>
    <font>
      <b/>
      <i/>
      <sz val="10"/>
      <name val="宋体"/>
      <charset val="134"/>
    </font>
    <font>
      <sz val="12"/>
      <color theme="1"/>
      <name val="等线"/>
      <charset val="134"/>
    </font>
    <font>
      <sz val="12"/>
      <color rgb="FFFF0000"/>
      <name val="等线"/>
      <charset val="134"/>
    </font>
    <font>
      <b/>
      <i/>
      <sz val="10"/>
      <color indexed="8"/>
      <name val="宋体"/>
      <charset val="134"/>
    </font>
    <font>
      <b/>
      <i/>
      <sz val="10"/>
      <color indexed="8"/>
      <name val="Arial"/>
      <charset val="134"/>
    </font>
  </fonts>
  <fills count="40">
    <fill>
      <patternFill patternType="none"/>
    </fill>
    <fill>
      <patternFill patternType="gray125"/>
    </fill>
    <fill>
      <patternFill patternType="solid">
        <fgColor rgb="FF32CDFF"/>
        <bgColor rgb="FFFF0000"/>
      </patternFill>
    </fill>
    <fill>
      <patternFill patternType="solid">
        <fgColor rgb="FFFFF2CC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9" borderId="6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0" borderId="9" applyNumberFormat="0" applyAlignment="0" applyProtection="0">
      <alignment vertical="center"/>
    </xf>
    <xf numFmtId="0" fontId="28" fillId="11" borderId="10" applyNumberFormat="0" applyAlignment="0" applyProtection="0">
      <alignment vertical="center"/>
    </xf>
    <xf numFmtId="0" fontId="29" fillId="11" borderId="9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8" fillId="0" borderId="0"/>
    <xf numFmtId="0" fontId="39" fillId="0" borderId="0"/>
    <xf numFmtId="0" fontId="5" fillId="0" borderId="0"/>
    <xf numFmtId="0" fontId="18" fillId="0" borderId="0"/>
    <xf numFmtId="0" fontId="1" fillId="0" borderId="0">
      <alignment vertical="center"/>
    </xf>
    <xf numFmtId="0" fontId="18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0" fillId="3" borderId="0" xfId="0" applyFill="1">
      <alignment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9" fillId="5" borderId="4" xfId="0" applyFont="1" applyFill="1" applyBorder="1" applyAlignment="1">
      <alignment horizontal="left" vertical="center" wrapText="1"/>
    </xf>
    <xf numFmtId="0" fontId="10" fillId="5" borderId="4" xfId="0" applyFont="1" applyFill="1" applyBorder="1" applyAlignment="1">
      <alignment horizontal="left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6" borderId="4" xfId="0" applyFont="1" applyFill="1" applyBorder="1" applyAlignment="1">
      <alignment horizontal="left" vertical="top" wrapText="1"/>
    </xf>
    <xf numFmtId="0" fontId="16" fillId="4" borderId="4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1" fillId="0" borderId="0" xfId="0" applyFont="1" applyBorder="1">
      <alignment vertical="center"/>
    </xf>
    <xf numFmtId="0" fontId="5" fillId="0" borderId="4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 wrapText="1"/>
    </xf>
    <xf numFmtId="0" fontId="0" fillId="0" borderId="4" xfId="0" applyBorder="1">
      <alignment vertical="center"/>
    </xf>
    <xf numFmtId="0" fontId="5" fillId="6" borderId="4" xfId="0" applyFont="1" applyFill="1" applyBorder="1" applyAlignment="1">
      <alignment horizontal="left" vertical="center" wrapText="1"/>
    </xf>
    <xf numFmtId="0" fontId="15" fillId="6" borderId="4" xfId="0" applyFont="1" applyFill="1" applyBorder="1" applyAlignment="1">
      <alignment horizontal="center" vertical="top" wrapText="1"/>
    </xf>
    <xf numFmtId="0" fontId="0" fillId="0" borderId="5" xfId="0" applyBorder="1">
      <alignment vertical="center"/>
    </xf>
    <xf numFmtId="0" fontId="5" fillId="6" borderId="4" xfId="0" applyFont="1" applyFill="1" applyBorder="1" applyAlignment="1">
      <alignment horizontal="center" vertical="top" wrapText="1"/>
    </xf>
    <xf numFmtId="0" fontId="5" fillId="7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top" wrapText="1"/>
    </xf>
    <xf numFmtId="0" fontId="3" fillId="8" borderId="5" xfId="0" applyFont="1" applyFill="1" applyBorder="1" applyAlignment="1">
      <alignment horizontal="center" vertical="center" wrapText="1"/>
    </xf>
    <xf numFmtId="0" fontId="1" fillId="0" borderId="4" xfId="0" applyFont="1" applyBorder="1">
      <alignment vertical="center"/>
    </xf>
    <xf numFmtId="0" fontId="6" fillId="8" borderId="4" xfId="0" applyFont="1" applyFill="1" applyBorder="1" applyAlignment="1">
      <alignment horizontal="left" vertical="center" wrapText="1"/>
    </xf>
    <xf numFmtId="0" fontId="7" fillId="8" borderId="4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top" wrapText="1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_BCAN" xfId="50"/>
    <cellStyle name="Standard_SL(Template)_PF2010_C71 CAN CMX V1.1_100817" xfId="51"/>
    <cellStyle name="常规 2" xfId="52"/>
    <cellStyle name="常规 2 2" xfId="53"/>
    <cellStyle name="常规 25" xfId="54"/>
    <cellStyle name="常规_C71 CAN CMX V1.1_100817" xfId="55"/>
    <cellStyle name="표준 5" xfId="56"/>
    <cellStyle name="常规_IMMO(Tx)" xfId="57"/>
    <cellStyle name="常规 3" xfId="58"/>
    <cellStyle name="常规_FCC_D015_PT_CAN_ACU_C_Matrix" xfId="59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Windows\HiRain\BORGWARD%20HiFire.Sure\Excel%20Model\SubNetwork_Model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Legend"/>
      <sheetName val="Signal_List"/>
      <sheetName val="Histor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CE97"/>
  <sheetViews>
    <sheetView tabSelected="1" zoomScale="70" zoomScaleNormal="70" workbookViewId="0">
      <pane ySplit="1" topLeftCell="A2" activePane="bottomLeft" state="frozen"/>
      <selection/>
      <selection pane="bottomLeft" activeCell="Q72" sqref="Q72"/>
    </sheetView>
  </sheetViews>
  <sheetFormatPr defaultColWidth="9" defaultRowHeight="14.4"/>
  <cols>
    <col min="1" max="2" width="24" customWidth="1"/>
    <col min="3" max="3" width="14.7222222222222" customWidth="1"/>
    <col min="4" max="4" width="8.72222222222222" customWidth="1"/>
    <col min="5" max="5" width="14.7222222222222" customWidth="1"/>
    <col min="6" max="6" width="8.27777777777778" customWidth="1"/>
    <col min="7" max="7" width="32.7222222222222" customWidth="1"/>
    <col min="8" max="8" width="23.9537037037037" style="2" customWidth="1"/>
    <col min="9" max="11" width="9" customWidth="1"/>
    <col min="12" max="12" width="26.1111111111111" customWidth="1"/>
    <col min="13" max="17" width="9" customWidth="1"/>
    <col min="18" max="18" width="12.6388888888889" customWidth="1"/>
    <col min="19" max="19" width="9" customWidth="1"/>
    <col min="20" max="20" width="16.5462962962963" customWidth="1"/>
    <col min="21" max="21" width="9" customWidth="1"/>
    <col min="22" max="22" width="11.5740740740741" customWidth="1"/>
    <col min="23" max="24" width="9" customWidth="1"/>
    <col min="25" max="25" width="29.3425925925926" customWidth="1"/>
    <col min="26" max="37" width="7.27777777777778" customWidth="1"/>
    <col min="38" max="38" width="7.94444444444444" customWidth="1"/>
    <col min="39" max="39" width="9.27777777777778" customWidth="1"/>
    <col min="40" max="40" width="12.8518518518519"/>
  </cols>
  <sheetData>
    <row r="1" ht="38" customHeight="1" spans="1:40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6">
        <f>SUM(AM2:AM97)*128/500000</f>
        <v>0.041472</v>
      </c>
    </row>
    <row r="2" s="1" customFormat="1" ht="13.5" customHeight="1" spans="1:40">
      <c r="A2" s="7" t="s">
        <v>39</v>
      </c>
      <c r="B2" s="8" t="s">
        <v>40</v>
      </c>
      <c r="C2" s="9" t="s">
        <v>41</v>
      </c>
      <c r="D2" s="7" t="s">
        <v>42</v>
      </c>
      <c r="E2" s="7">
        <v>100</v>
      </c>
      <c r="F2" s="7">
        <v>8</v>
      </c>
      <c r="G2" s="7"/>
      <c r="H2" s="7" t="s">
        <v>27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10" t="s">
        <v>43</v>
      </c>
      <c r="AA2" s="7"/>
      <c r="AB2" s="10" t="s">
        <v>44</v>
      </c>
      <c r="AC2" s="10" t="s">
        <v>43</v>
      </c>
      <c r="AD2" s="7"/>
      <c r="AE2" s="7"/>
      <c r="AF2" s="7"/>
      <c r="AG2" s="7"/>
      <c r="AH2" s="7"/>
      <c r="AI2" s="7"/>
      <c r="AJ2" s="10" t="s">
        <v>43</v>
      </c>
      <c r="AK2" s="10" t="s">
        <v>43</v>
      </c>
      <c r="AL2" s="11"/>
      <c r="AM2" s="12">
        <v>10</v>
      </c>
    </row>
    <row r="3" s="1" customFormat="1" ht="13.5" customHeight="1" outlineLevel="1" spans="1:40">
      <c r="A3" s="13"/>
      <c r="B3" s="13"/>
      <c r="C3" s="13"/>
      <c r="D3" s="13"/>
      <c r="E3" s="13"/>
      <c r="F3" s="13"/>
      <c r="G3" s="14" t="s">
        <v>45</v>
      </c>
      <c r="H3" s="15" t="s">
        <v>46</v>
      </c>
      <c r="I3" s="16" t="s">
        <v>47</v>
      </c>
      <c r="J3" s="17">
        <v>0</v>
      </c>
      <c r="K3" s="17">
        <v>0</v>
      </c>
      <c r="L3" s="13" t="s">
        <v>42</v>
      </c>
      <c r="M3" s="13">
        <v>2</v>
      </c>
      <c r="N3" s="13" t="s">
        <v>48</v>
      </c>
      <c r="O3" s="17">
        <v>1</v>
      </c>
      <c r="P3" s="17">
        <v>0</v>
      </c>
      <c r="Q3" s="17">
        <v>0</v>
      </c>
      <c r="R3" s="17">
        <v>3</v>
      </c>
      <c r="S3" s="17" t="s">
        <v>49</v>
      </c>
      <c r="T3" s="17" t="s">
        <v>50</v>
      </c>
      <c r="U3" s="13"/>
      <c r="V3" s="13"/>
      <c r="W3" s="13"/>
      <c r="X3" s="13"/>
      <c r="Y3" s="15" t="s">
        <v>51</v>
      </c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8"/>
      <c r="AM3" s="12"/>
    </row>
    <row r="4" s="1" customFormat="1" ht="13.5" customHeight="1" outlineLevel="1" spans="1:40">
      <c r="A4" s="13"/>
      <c r="B4" s="13"/>
      <c r="C4" s="13"/>
      <c r="D4" s="13"/>
      <c r="E4" s="13"/>
      <c r="F4" s="13"/>
      <c r="G4" s="14" t="s">
        <v>52</v>
      </c>
      <c r="H4" s="15" t="s">
        <v>53</v>
      </c>
      <c r="I4" s="16" t="s">
        <v>47</v>
      </c>
      <c r="J4" s="17">
        <v>0</v>
      </c>
      <c r="K4" s="17">
        <v>2</v>
      </c>
      <c r="L4" s="13" t="s">
        <v>42</v>
      </c>
      <c r="M4" s="13">
        <v>2</v>
      </c>
      <c r="N4" s="13" t="s">
        <v>48</v>
      </c>
      <c r="O4" s="17">
        <v>1</v>
      </c>
      <c r="P4" s="17">
        <v>0</v>
      </c>
      <c r="Q4" s="17">
        <v>0</v>
      </c>
      <c r="R4" s="17">
        <v>3</v>
      </c>
      <c r="S4" s="17" t="s">
        <v>49</v>
      </c>
      <c r="T4" s="17" t="s">
        <v>50</v>
      </c>
      <c r="U4" s="13"/>
      <c r="V4" s="13"/>
      <c r="W4" s="13"/>
      <c r="X4" s="13"/>
      <c r="Y4" s="15" t="s">
        <v>51</v>
      </c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8"/>
      <c r="AM4" s="12"/>
    </row>
    <row r="5" s="1" customFormat="1" ht="13.5" customHeight="1" outlineLevel="1" spans="1:40">
      <c r="A5" s="13"/>
      <c r="B5" s="13"/>
      <c r="C5" s="13"/>
      <c r="D5" s="13"/>
      <c r="E5" s="13"/>
      <c r="F5" s="13"/>
      <c r="G5" s="14" t="s">
        <v>54</v>
      </c>
      <c r="H5" s="15" t="s">
        <v>55</v>
      </c>
      <c r="I5" s="16" t="s">
        <v>47</v>
      </c>
      <c r="J5" s="17">
        <v>0</v>
      </c>
      <c r="K5" s="17">
        <v>4</v>
      </c>
      <c r="L5" s="13" t="s">
        <v>42</v>
      </c>
      <c r="M5" s="13">
        <v>2</v>
      </c>
      <c r="N5" s="13" t="s">
        <v>48</v>
      </c>
      <c r="O5" s="17">
        <v>1</v>
      </c>
      <c r="P5" s="17">
        <v>0</v>
      </c>
      <c r="Q5" s="17">
        <v>0</v>
      </c>
      <c r="R5" s="17">
        <v>3</v>
      </c>
      <c r="S5" s="17" t="s">
        <v>49</v>
      </c>
      <c r="T5" s="17" t="s">
        <v>50</v>
      </c>
      <c r="U5" s="13"/>
      <c r="V5" s="13"/>
      <c r="W5" s="13"/>
      <c r="X5" s="13"/>
      <c r="Y5" s="15" t="s">
        <v>51</v>
      </c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8"/>
      <c r="AM5" s="12"/>
    </row>
    <row r="6" s="1" customFormat="1" ht="13.5" customHeight="1" outlineLevel="1" spans="1:40">
      <c r="A6" s="13"/>
      <c r="B6" s="13"/>
      <c r="C6" s="13"/>
      <c r="D6" s="13"/>
      <c r="E6" s="13"/>
      <c r="F6" s="13"/>
      <c r="G6" s="14" t="s">
        <v>56</v>
      </c>
      <c r="H6" s="15" t="s">
        <v>57</v>
      </c>
      <c r="I6" s="16" t="s">
        <v>47</v>
      </c>
      <c r="J6" s="17">
        <v>0</v>
      </c>
      <c r="K6" s="17">
        <v>6</v>
      </c>
      <c r="L6" s="13" t="s">
        <v>42</v>
      </c>
      <c r="M6" s="13">
        <v>2</v>
      </c>
      <c r="N6" s="13" t="s">
        <v>48</v>
      </c>
      <c r="O6" s="17">
        <v>1</v>
      </c>
      <c r="P6" s="17">
        <v>0</v>
      </c>
      <c r="Q6" s="17">
        <v>0</v>
      </c>
      <c r="R6" s="17">
        <v>3</v>
      </c>
      <c r="S6" s="17" t="s">
        <v>49</v>
      </c>
      <c r="T6" s="17" t="s">
        <v>50</v>
      </c>
      <c r="U6" s="13"/>
      <c r="V6" s="13"/>
      <c r="W6" s="13"/>
      <c r="X6" s="13"/>
      <c r="Y6" s="15" t="s">
        <v>58</v>
      </c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8"/>
      <c r="AM6" s="12"/>
    </row>
    <row r="7" s="1" customFormat="1" ht="13.5" customHeight="1" outlineLevel="1" spans="1:40">
      <c r="A7" s="13"/>
      <c r="B7" s="13"/>
      <c r="C7" s="13"/>
      <c r="D7" s="13"/>
      <c r="E7" s="13"/>
      <c r="F7" s="13"/>
      <c r="G7" s="14" t="s">
        <v>59</v>
      </c>
      <c r="H7" s="15" t="s">
        <v>60</v>
      </c>
      <c r="I7" s="16" t="s">
        <v>47</v>
      </c>
      <c r="J7" s="17">
        <v>1</v>
      </c>
      <c r="K7" s="17">
        <v>8</v>
      </c>
      <c r="L7" s="13" t="s">
        <v>42</v>
      </c>
      <c r="M7" s="13">
        <v>4</v>
      </c>
      <c r="N7" s="13" t="s">
        <v>48</v>
      </c>
      <c r="O7" s="17">
        <v>1</v>
      </c>
      <c r="P7" s="17">
        <v>0</v>
      </c>
      <c r="Q7" s="17">
        <v>0</v>
      </c>
      <c r="R7" s="17">
        <v>15</v>
      </c>
      <c r="S7" s="17" t="s">
        <v>49</v>
      </c>
      <c r="T7" s="17" t="s">
        <v>61</v>
      </c>
      <c r="U7" s="13"/>
      <c r="V7" s="13"/>
      <c r="W7" s="13"/>
      <c r="X7" s="13"/>
      <c r="Y7" s="15" t="s">
        <v>62</v>
      </c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8"/>
      <c r="AM7" s="12"/>
    </row>
    <row r="8" s="1" customFormat="1" ht="13.5" customHeight="1" outlineLevel="1" spans="1:40">
      <c r="A8" s="13"/>
      <c r="B8" s="13"/>
      <c r="C8" s="13"/>
      <c r="D8" s="13"/>
      <c r="E8" s="13"/>
      <c r="F8" s="13"/>
      <c r="G8" s="14" t="s">
        <v>63</v>
      </c>
      <c r="H8" s="15" t="s">
        <v>64</v>
      </c>
      <c r="I8" s="16" t="s">
        <v>47</v>
      </c>
      <c r="J8" s="17">
        <v>1</v>
      </c>
      <c r="K8" s="17">
        <v>12</v>
      </c>
      <c r="L8" s="13" t="s">
        <v>42</v>
      </c>
      <c r="M8" s="13">
        <v>4</v>
      </c>
      <c r="N8" s="13" t="s">
        <v>48</v>
      </c>
      <c r="O8" s="17">
        <v>1</v>
      </c>
      <c r="P8" s="17">
        <v>0</v>
      </c>
      <c r="Q8" s="17">
        <v>0</v>
      </c>
      <c r="R8" s="17">
        <v>15</v>
      </c>
      <c r="S8" s="17" t="s">
        <v>49</v>
      </c>
      <c r="T8" s="17" t="s">
        <v>61</v>
      </c>
      <c r="U8" s="13"/>
      <c r="V8" s="13"/>
      <c r="W8" s="13"/>
      <c r="X8" s="13"/>
      <c r="Y8" s="15" t="s">
        <v>65</v>
      </c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8"/>
      <c r="AM8" s="12"/>
    </row>
    <row r="9" s="1" customFormat="1" ht="13.5" customHeight="1" outlineLevel="1" spans="1:40">
      <c r="A9" s="13"/>
      <c r="B9" s="13"/>
      <c r="C9" s="13"/>
      <c r="D9" s="13"/>
      <c r="E9" s="13"/>
      <c r="F9" s="13"/>
      <c r="G9" s="14" t="s">
        <v>66</v>
      </c>
      <c r="H9" s="15" t="s">
        <v>67</v>
      </c>
      <c r="I9" s="16" t="s">
        <v>47</v>
      </c>
      <c r="J9" s="17">
        <v>2</v>
      </c>
      <c r="K9" s="17">
        <v>16</v>
      </c>
      <c r="L9" s="13" t="s">
        <v>42</v>
      </c>
      <c r="M9" s="13">
        <v>8</v>
      </c>
      <c r="N9" s="13" t="s">
        <v>48</v>
      </c>
      <c r="O9" s="17">
        <v>0.5</v>
      </c>
      <c r="P9" s="17">
        <v>0</v>
      </c>
      <c r="Q9" s="17">
        <v>16</v>
      </c>
      <c r="R9" s="17">
        <v>32</v>
      </c>
      <c r="S9" s="17" t="s">
        <v>49</v>
      </c>
      <c r="T9" s="17" t="s">
        <v>68</v>
      </c>
      <c r="U9" s="13"/>
      <c r="V9" s="13"/>
      <c r="W9" s="13"/>
      <c r="X9" s="13"/>
      <c r="Y9" s="15" t="s">
        <v>69</v>
      </c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8"/>
      <c r="AM9" s="12"/>
    </row>
    <row r="10" s="1" customFormat="1" ht="13.5" customHeight="1" outlineLevel="1" spans="1:40">
      <c r="A10" s="13"/>
      <c r="B10" s="13"/>
      <c r="C10" s="13"/>
      <c r="D10" s="13"/>
      <c r="E10" s="13"/>
      <c r="F10" s="13"/>
      <c r="G10" s="14" t="s">
        <v>70</v>
      </c>
      <c r="H10" s="15" t="s">
        <v>71</v>
      </c>
      <c r="I10" s="16" t="s">
        <v>72</v>
      </c>
      <c r="J10" s="17">
        <v>3</v>
      </c>
      <c r="K10" s="17">
        <v>24</v>
      </c>
      <c r="L10" s="13" t="s">
        <v>42</v>
      </c>
      <c r="M10" s="13">
        <v>4</v>
      </c>
      <c r="N10" s="13" t="s">
        <v>48</v>
      </c>
      <c r="O10" s="17">
        <v>1</v>
      </c>
      <c r="P10" s="17">
        <v>0</v>
      </c>
      <c r="Q10" s="17">
        <v>0</v>
      </c>
      <c r="R10" s="17">
        <v>15</v>
      </c>
      <c r="S10" s="17" t="s">
        <v>49</v>
      </c>
      <c r="T10" s="17" t="s">
        <v>61</v>
      </c>
      <c r="U10" s="13"/>
      <c r="V10" s="13"/>
      <c r="W10" s="13"/>
      <c r="X10" s="13"/>
      <c r="Y10" s="15" t="s">
        <v>73</v>
      </c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8"/>
      <c r="AM10" s="12"/>
    </row>
    <row r="11" s="1" customFormat="1" ht="13.5" customHeight="1" outlineLevel="1" spans="1:40">
      <c r="A11" s="13"/>
      <c r="B11" s="13"/>
      <c r="C11" s="13"/>
      <c r="D11" s="13"/>
      <c r="E11" s="13"/>
      <c r="F11" s="13"/>
      <c r="G11" s="14" t="s">
        <v>74</v>
      </c>
      <c r="H11" s="15" t="s">
        <v>75</v>
      </c>
      <c r="I11" s="16" t="s">
        <v>72</v>
      </c>
      <c r="J11" s="17">
        <v>3</v>
      </c>
      <c r="K11" s="17">
        <v>28</v>
      </c>
      <c r="L11" s="13" t="s">
        <v>42</v>
      </c>
      <c r="M11" s="13">
        <v>2</v>
      </c>
      <c r="N11" s="13" t="s">
        <v>48</v>
      </c>
      <c r="O11" s="17">
        <v>1</v>
      </c>
      <c r="P11" s="17">
        <v>0</v>
      </c>
      <c r="Q11" s="17">
        <v>0</v>
      </c>
      <c r="R11" s="17">
        <v>3</v>
      </c>
      <c r="S11" s="17" t="s">
        <v>49</v>
      </c>
      <c r="T11" s="17" t="s">
        <v>50</v>
      </c>
      <c r="U11" s="13"/>
      <c r="V11" s="13"/>
      <c r="W11" s="13"/>
      <c r="X11" s="13"/>
      <c r="Y11" s="15" t="s">
        <v>76</v>
      </c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8"/>
      <c r="AM11" s="12"/>
    </row>
    <row r="12" s="1" customFormat="1" ht="13.5" customHeight="1" outlineLevel="1" spans="1:40">
      <c r="A12" s="13"/>
      <c r="B12" s="13"/>
      <c r="C12" s="13"/>
      <c r="D12" s="13"/>
      <c r="E12" s="13"/>
      <c r="F12" s="13"/>
      <c r="G12" s="14" t="s">
        <v>77</v>
      </c>
      <c r="H12" s="15" t="s">
        <v>78</v>
      </c>
      <c r="I12" s="16" t="s">
        <v>72</v>
      </c>
      <c r="J12" s="17">
        <v>4</v>
      </c>
      <c r="K12" s="17">
        <v>36</v>
      </c>
      <c r="L12" s="13" t="s">
        <v>42</v>
      </c>
      <c r="M12" s="13">
        <v>2</v>
      </c>
      <c r="N12" s="13" t="s">
        <v>48</v>
      </c>
      <c r="O12" s="17">
        <v>1</v>
      </c>
      <c r="P12" s="17">
        <v>0</v>
      </c>
      <c r="Q12" s="17">
        <v>0</v>
      </c>
      <c r="R12" s="17">
        <v>3</v>
      </c>
      <c r="S12" s="17" t="s">
        <v>49</v>
      </c>
      <c r="T12" s="17" t="s">
        <v>50</v>
      </c>
      <c r="U12" s="13"/>
      <c r="V12" s="13"/>
      <c r="W12" s="13"/>
      <c r="X12" s="13"/>
      <c r="Y12" s="15" t="s">
        <v>76</v>
      </c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8"/>
      <c r="AM12" s="12"/>
    </row>
    <row r="13" s="1" customFormat="1" ht="13.5" customHeight="1" outlineLevel="1" spans="1:40">
      <c r="A13" s="13"/>
      <c r="B13" s="13"/>
      <c r="C13" s="13"/>
      <c r="D13" s="13"/>
      <c r="E13" s="13"/>
      <c r="F13" s="13"/>
      <c r="G13" s="14" t="s">
        <v>79</v>
      </c>
      <c r="H13" s="15" t="s">
        <v>80</v>
      </c>
      <c r="I13" s="16" t="s">
        <v>72</v>
      </c>
      <c r="J13" s="17">
        <v>4</v>
      </c>
      <c r="K13" s="17">
        <v>38</v>
      </c>
      <c r="L13" s="13" t="s">
        <v>42</v>
      </c>
      <c r="M13" s="13">
        <v>2</v>
      </c>
      <c r="N13" s="13" t="s">
        <v>48</v>
      </c>
      <c r="O13" s="17">
        <v>1</v>
      </c>
      <c r="P13" s="17">
        <v>0</v>
      </c>
      <c r="Q13" s="17">
        <v>0</v>
      </c>
      <c r="R13" s="17">
        <v>3</v>
      </c>
      <c r="S13" s="17" t="s">
        <v>49</v>
      </c>
      <c r="T13" s="17" t="s">
        <v>50</v>
      </c>
      <c r="U13" s="13"/>
      <c r="V13" s="13"/>
      <c r="W13" s="13"/>
      <c r="X13" s="13"/>
      <c r="Y13" s="15" t="s">
        <v>76</v>
      </c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8"/>
      <c r="AM13" s="12"/>
    </row>
    <row r="14" s="1" customFormat="1" ht="13.5" customHeight="1" outlineLevel="1" spans="1:40">
      <c r="A14" s="13"/>
      <c r="B14" s="13"/>
      <c r="C14" s="13"/>
      <c r="D14" s="13"/>
      <c r="E14" s="13"/>
      <c r="F14" s="13"/>
      <c r="G14" s="14" t="s">
        <v>81</v>
      </c>
      <c r="H14" s="15" t="s">
        <v>82</v>
      </c>
      <c r="I14" s="16" t="s">
        <v>72</v>
      </c>
      <c r="J14" s="17">
        <v>5</v>
      </c>
      <c r="K14" s="17">
        <v>40</v>
      </c>
      <c r="L14" s="13" t="s">
        <v>42</v>
      </c>
      <c r="M14" s="13">
        <v>2</v>
      </c>
      <c r="N14" s="13" t="s">
        <v>48</v>
      </c>
      <c r="O14" s="17">
        <v>1</v>
      </c>
      <c r="P14" s="17">
        <v>0</v>
      </c>
      <c r="Q14" s="17">
        <v>0</v>
      </c>
      <c r="R14" s="17">
        <v>3</v>
      </c>
      <c r="S14" s="17" t="s">
        <v>49</v>
      </c>
      <c r="T14" s="17" t="s">
        <v>50</v>
      </c>
      <c r="U14" s="13"/>
      <c r="V14" s="13"/>
      <c r="W14" s="13"/>
      <c r="X14" s="13"/>
      <c r="Y14" s="15" t="s">
        <v>76</v>
      </c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8"/>
      <c r="AM14" s="12"/>
    </row>
    <row r="15" s="1" customFormat="1" ht="13.5" customHeight="1" outlineLevel="1" spans="1:40">
      <c r="A15" s="13"/>
      <c r="B15" s="13"/>
      <c r="C15" s="13"/>
      <c r="D15" s="13"/>
      <c r="E15" s="13"/>
      <c r="F15" s="13"/>
      <c r="G15" s="14" t="s">
        <v>83</v>
      </c>
      <c r="H15" s="15" t="s">
        <v>84</v>
      </c>
      <c r="I15" s="16" t="s">
        <v>72</v>
      </c>
      <c r="J15" s="17">
        <v>5</v>
      </c>
      <c r="K15" s="17">
        <v>42</v>
      </c>
      <c r="L15" s="13" t="s">
        <v>42</v>
      </c>
      <c r="M15" s="13">
        <v>2</v>
      </c>
      <c r="N15" s="13" t="s">
        <v>48</v>
      </c>
      <c r="O15" s="17">
        <v>1</v>
      </c>
      <c r="P15" s="17">
        <v>0</v>
      </c>
      <c r="Q15" s="17">
        <v>0</v>
      </c>
      <c r="R15" s="17">
        <v>3</v>
      </c>
      <c r="S15" s="17" t="s">
        <v>49</v>
      </c>
      <c r="T15" s="17" t="s">
        <v>50</v>
      </c>
      <c r="U15" s="13"/>
      <c r="V15" s="13"/>
      <c r="W15" s="13"/>
      <c r="X15" s="13"/>
      <c r="Y15" s="15" t="s">
        <v>76</v>
      </c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8"/>
      <c r="AM15" s="12"/>
    </row>
    <row r="16" s="1" customFormat="1" ht="13.5" customHeight="1" outlineLevel="1" spans="1:40">
      <c r="A16" s="13"/>
      <c r="B16" s="13"/>
      <c r="C16" s="13"/>
      <c r="D16" s="13"/>
      <c r="E16" s="13"/>
      <c r="F16" s="13"/>
      <c r="G16" s="14" t="s">
        <v>85</v>
      </c>
      <c r="H16" s="15" t="s">
        <v>86</v>
      </c>
      <c r="I16" s="16" t="s">
        <v>72</v>
      </c>
      <c r="J16" s="17">
        <v>5</v>
      </c>
      <c r="K16" s="17">
        <v>44</v>
      </c>
      <c r="L16" s="13" t="s">
        <v>42</v>
      </c>
      <c r="M16" s="13">
        <v>2</v>
      </c>
      <c r="N16" s="13" t="s">
        <v>48</v>
      </c>
      <c r="O16" s="17">
        <v>1</v>
      </c>
      <c r="P16" s="17">
        <v>0</v>
      </c>
      <c r="Q16" s="17">
        <v>0</v>
      </c>
      <c r="R16" s="17">
        <v>3</v>
      </c>
      <c r="S16" s="17" t="s">
        <v>49</v>
      </c>
      <c r="T16" s="17" t="s">
        <v>50</v>
      </c>
      <c r="U16" s="13"/>
      <c r="V16" s="13"/>
      <c r="W16" s="13"/>
      <c r="X16" s="13"/>
      <c r="Y16" s="15" t="s">
        <v>87</v>
      </c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8"/>
      <c r="AM16" s="12"/>
    </row>
    <row r="17" s="1" customFormat="1" ht="13.5" customHeight="1" outlineLevel="1" spans="1:83">
      <c r="A17" s="13"/>
      <c r="B17" s="13"/>
      <c r="C17" s="13"/>
      <c r="D17" s="13"/>
      <c r="E17" s="13"/>
      <c r="F17" s="13"/>
      <c r="G17" s="14" t="s">
        <v>88</v>
      </c>
      <c r="H17" s="15" t="s">
        <v>89</v>
      </c>
      <c r="I17" s="16" t="s">
        <v>72</v>
      </c>
      <c r="J17" s="17">
        <v>5</v>
      </c>
      <c r="K17" s="17">
        <v>46</v>
      </c>
      <c r="L17" s="13" t="s">
        <v>42</v>
      </c>
      <c r="M17" s="13">
        <v>2</v>
      </c>
      <c r="N17" s="13" t="s">
        <v>48</v>
      </c>
      <c r="O17" s="17">
        <v>1</v>
      </c>
      <c r="P17" s="17">
        <v>0</v>
      </c>
      <c r="Q17" s="17">
        <v>0</v>
      </c>
      <c r="R17" s="17">
        <v>3</v>
      </c>
      <c r="S17" s="17" t="s">
        <v>49</v>
      </c>
      <c r="T17" s="17" t="s">
        <v>50</v>
      </c>
      <c r="U17" s="13"/>
      <c r="V17" s="13"/>
      <c r="W17" s="13"/>
      <c r="X17" s="13"/>
      <c r="Y17" s="15" t="s">
        <v>76</v>
      </c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8"/>
      <c r="AM17" s="12"/>
    </row>
    <row r="18" s="1" customFormat="1" ht="13.5" customHeight="1" outlineLevel="1" spans="1:83">
      <c r="A18" s="13"/>
      <c r="B18" s="13"/>
      <c r="C18" s="13"/>
      <c r="D18" s="13"/>
      <c r="E18" s="13"/>
      <c r="F18" s="13"/>
      <c r="G18" s="14" t="s">
        <v>90</v>
      </c>
      <c r="H18" s="15" t="s">
        <v>91</v>
      </c>
      <c r="I18" s="16" t="s">
        <v>72</v>
      </c>
      <c r="J18" s="17">
        <v>6</v>
      </c>
      <c r="K18" s="17">
        <v>48</v>
      </c>
      <c r="L18" s="13" t="s">
        <v>42</v>
      </c>
      <c r="M18" s="13">
        <v>2</v>
      </c>
      <c r="N18" s="13" t="s">
        <v>48</v>
      </c>
      <c r="O18" s="17">
        <v>1</v>
      </c>
      <c r="P18" s="17">
        <v>0</v>
      </c>
      <c r="Q18" s="17">
        <v>0</v>
      </c>
      <c r="R18" s="17">
        <v>3</v>
      </c>
      <c r="S18" s="17" t="s">
        <v>49</v>
      </c>
      <c r="T18" s="17" t="s">
        <v>50</v>
      </c>
      <c r="U18" s="13"/>
      <c r="V18" s="13"/>
      <c r="W18" s="13"/>
      <c r="X18" s="13"/>
      <c r="Y18" s="15" t="s">
        <v>76</v>
      </c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8"/>
      <c r="AM18" s="12"/>
    </row>
    <row r="19" s="1" customFormat="1" ht="13.5" customHeight="1" outlineLevel="1" spans="1:83">
      <c r="A19" s="13"/>
      <c r="B19" s="13"/>
      <c r="C19" s="13"/>
      <c r="D19" s="13"/>
      <c r="E19" s="13"/>
      <c r="F19" s="13"/>
      <c r="G19" s="14" t="s">
        <v>92</v>
      </c>
      <c r="H19" s="15" t="s">
        <v>93</v>
      </c>
      <c r="I19" s="16" t="s">
        <v>72</v>
      </c>
      <c r="J19" s="17">
        <v>6</v>
      </c>
      <c r="K19" s="17">
        <v>52</v>
      </c>
      <c r="L19" s="13" t="s">
        <v>42</v>
      </c>
      <c r="M19" s="13">
        <v>4</v>
      </c>
      <c r="N19" s="13" t="s">
        <v>48</v>
      </c>
      <c r="O19" s="17">
        <v>1</v>
      </c>
      <c r="P19" s="17">
        <v>0</v>
      </c>
      <c r="Q19" s="17">
        <v>0</v>
      </c>
      <c r="R19" s="17">
        <v>15</v>
      </c>
      <c r="S19" s="17" t="s">
        <v>49</v>
      </c>
      <c r="T19" s="17" t="s">
        <v>61</v>
      </c>
      <c r="U19" s="13"/>
      <c r="V19" s="13"/>
      <c r="W19" s="13"/>
      <c r="X19" s="13"/>
      <c r="Y19" s="15" t="s">
        <v>73</v>
      </c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8"/>
      <c r="AM19" s="12"/>
    </row>
    <row r="20" s="1" customFormat="1" ht="13.5" customHeight="1" outlineLevel="1" spans="1:83">
      <c r="A20" s="13"/>
      <c r="B20" s="13"/>
      <c r="C20" s="13"/>
      <c r="D20" s="13"/>
      <c r="E20" s="13"/>
      <c r="F20" s="13"/>
      <c r="G20" s="19" t="s">
        <v>94</v>
      </c>
      <c r="H20" s="20" t="s">
        <v>95</v>
      </c>
      <c r="I20" s="21" t="s">
        <v>47</v>
      </c>
      <c r="J20" s="22">
        <v>7</v>
      </c>
      <c r="K20" s="22">
        <v>56</v>
      </c>
      <c r="L20" s="23" t="s">
        <v>42</v>
      </c>
      <c r="M20" s="23">
        <v>2</v>
      </c>
      <c r="N20" s="23" t="s">
        <v>48</v>
      </c>
      <c r="O20" s="22">
        <v>1</v>
      </c>
      <c r="P20" s="22">
        <v>0</v>
      </c>
      <c r="Q20" s="22">
        <v>0</v>
      </c>
      <c r="R20" s="22">
        <v>3</v>
      </c>
      <c r="S20" s="22" t="s">
        <v>49</v>
      </c>
      <c r="T20" s="22" t="s">
        <v>50</v>
      </c>
      <c r="U20" s="23"/>
      <c r="V20" s="23"/>
      <c r="W20" s="23"/>
      <c r="X20" s="23"/>
      <c r="Y20" s="20" t="s">
        <v>96</v>
      </c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4"/>
      <c r="AM20" s="25"/>
    </row>
    <row r="21" s="1" customFormat="1" ht="13.5" customHeight="1" outlineLevel="1" spans="1:83">
      <c r="A21" s="13"/>
      <c r="B21" s="13"/>
      <c r="C21" s="13"/>
      <c r="D21" s="13"/>
      <c r="E21" s="13"/>
      <c r="F21" s="13"/>
      <c r="G21" s="19" t="s">
        <v>97</v>
      </c>
      <c r="H21" s="20" t="s">
        <v>98</v>
      </c>
      <c r="I21" s="21" t="s">
        <v>47</v>
      </c>
      <c r="J21" s="22">
        <v>7</v>
      </c>
      <c r="K21" s="22">
        <v>60</v>
      </c>
      <c r="L21" s="23" t="s">
        <v>42</v>
      </c>
      <c r="M21" s="23">
        <v>2</v>
      </c>
      <c r="N21" s="23" t="s">
        <v>48</v>
      </c>
      <c r="O21" s="22">
        <v>1</v>
      </c>
      <c r="P21" s="22">
        <v>0</v>
      </c>
      <c r="Q21" s="22">
        <v>0</v>
      </c>
      <c r="R21" s="22">
        <v>3</v>
      </c>
      <c r="S21" s="22" t="s">
        <v>49</v>
      </c>
      <c r="T21" s="22" t="s">
        <v>50</v>
      </c>
      <c r="U21" s="23"/>
      <c r="V21" s="23"/>
      <c r="W21" s="23"/>
      <c r="X21" s="23"/>
      <c r="Y21" s="20" t="s">
        <v>96</v>
      </c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4"/>
      <c r="AM21" s="25"/>
    </row>
    <row r="22" s="1" customFormat="1" ht="13.5" customHeight="1" spans="1:83">
      <c r="A22" s="7" t="s">
        <v>99</v>
      </c>
      <c r="B22" s="8" t="s">
        <v>40</v>
      </c>
      <c r="C22" s="7" t="s">
        <v>100</v>
      </c>
      <c r="D22" s="7" t="s">
        <v>42</v>
      </c>
      <c r="E22" s="7">
        <v>100</v>
      </c>
      <c r="F22" s="7">
        <v>8</v>
      </c>
      <c r="G22" s="7"/>
      <c r="H22" s="7" t="s">
        <v>26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10" t="s">
        <v>43</v>
      </c>
      <c r="AA22" s="10" t="s">
        <v>44</v>
      </c>
      <c r="AB22" s="7"/>
      <c r="AC22" s="7"/>
      <c r="AD22" s="7"/>
      <c r="AE22" s="7"/>
      <c r="AF22" s="7"/>
      <c r="AG22" s="7"/>
      <c r="AH22" s="7"/>
      <c r="AI22" s="7"/>
      <c r="AJ22" s="10" t="s">
        <v>43</v>
      </c>
      <c r="AK22" s="10" t="s">
        <v>43</v>
      </c>
      <c r="AL22" s="11"/>
      <c r="AM22" s="12">
        <f>1000/E22</f>
        <v>10</v>
      </c>
    </row>
    <row r="23" s="1" customFormat="1" ht="13.5" customHeight="1" outlineLevel="1" spans="1:83">
      <c r="A23" s="13"/>
      <c r="B23" s="13"/>
      <c r="C23" s="13"/>
      <c r="D23" s="13"/>
      <c r="E23" s="13"/>
      <c r="F23" s="13"/>
      <c r="G23" s="26" t="s">
        <v>101</v>
      </c>
      <c r="H23" s="27" t="s">
        <v>102</v>
      </c>
      <c r="I23" s="16" t="s">
        <v>47</v>
      </c>
      <c r="J23" s="13">
        <v>0</v>
      </c>
      <c r="K23" s="26">
        <v>0</v>
      </c>
      <c r="L23" s="13" t="s">
        <v>42</v>
      </c>
      <c r="M23" s="13">
        <v>3</v>
      </c>
      <c r="N23" s="13" t="s">
        <v>48</v>
      </c>
      <c r="O23" s="26">
        <v>1</v>
      </c>
      <c r="P23" s="26">
        <v>0</v>
      </c>
      <c r="Q23" s="26">
        <v>0</v>
      </c>
      <c r="R23" s="26">
        <v>7</v>
      </c>
      <c r="S23" s="13" t="s">
        <v>49</v>
      </c>
      <c r="T23" s="13" t="s">
        <v>103</v>
      </c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8"/>
      <c r="AM23" s="12"/>
    </row>
    <row r="24" s="1" customFormat="1" ht="13.5" customHeight="1" outlineLevel="1" spans="1:83">
      <c r="A24" s="13"/>
      <c r="B24" s="13"/>
      <c r="C24" s="13"/>
      <c r="D24" s="13"/>
      <c r="E24" s="13"/>
      <c r="F24" s="13"/>
      <c r="G24" s="26" t="s">
        <v>104</v>
      </c>
      <c r="H24" s="27" t="s">
        <v>105</v>
      </c>
      <c r="I24" s="16" t="s">
        <v>47</v>
      </c>
      <c r="J24" s="13">
        <v>0</v>
      </c>
      <c r="K24" s="26">
        <v>3</v>
      </c>
      <c r="L24" s="13" t="s">
        <v>42</v>
      </c>
      <c r="M24" s="13">
        <v>2</v>
      </c>
      <c r="N24" s="13" t="s">
        <v>48</v>
      </c>
      <c r="O24" s="26">
        <v>1</v>
      </c>
      <c r="P24" s="26">
        <v>0</v>
      </c>
      <c r="Q24" s="26">
        <v>0</v>
      </c>
      <c r="R24" s="26">
        <v>3</v>
      </c>
      <c r="S24" s="13" t="s">
        <v>49</v>
      </c>
      <c r="T24" s="13" t="s">
        <v>50</v>
      </c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8"/>
      <c r="AM24" s="12"/>
    </row>
    <row r="25" s="1" customFormat="1" ht="13.5" customHeight="1" outlineLevel="1" spans="1:83">
      <c r="A25" s="13"/>
      <c r="B25" s="13"/>
      <c r="C25" s="13"/>
      <c r="D25" s="13"/>
      <c r="E25" s="13"/>
      <c r="F25" s="13"/>
      <c r="G25" s="26" t="s">
        <v>106</v>
      </c>
      <c r="H25" s="27" t="s">
        <v>107</v>
      </c>
      <c r="I25" s="16" t="s">
        <v>47</v>
      </c>
      <c r="J25" s="13">
        <v>0</v>
      </c>
      <c r="K25" s="26">
        <v>5</v>
      </c>
      <c r="L25" s="13" t="s">
        <v>42</v>
      </c>
      <c r="M25" s="13">
        <v>1</v>
      </c>
      <c r="N25" s="13" t="s">
        <v>48</v>
      </c>
      <c r="O25" s="26">
        <v>1</v>
      </c>
      <c r="P25" s="26">
        <v>0</v>
      </c>
      <c r="Q25" s="26">
        <v>0</v>
      </c>
      <c r="R25" s="26">
        <v>1</v>
      </c>
      <c r="S25" s="13" t="s">
        <v>49</v>
      </c>
      <c r="T25" s="13" t="s">
        <v>108</v>
      </c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8"/>
      <c r="AM25" s="12"/>
    </row>
    <row r="26" s="1" customFormat="1" ht="13.5" customHeight="1" outlineLevel="1" spans="1:83">
      <c r="A26" s="13"/>
      <c r="B26" s="13"/>
      <c r="C26" s="13"/>
      <c r="D26" s="13"/>
      <c r="E26" s="13"/>
      <c r="F26" s="13"/>
      <c r="G26" s="26" t="s">
        <v>109</v>
      </c>
      <c r="H26" s="27" t="s">
        <v>110</v>
      </c>
      <c r="I26" s="16" t="s">
        <v>47</v>
      </c>
      <c r="J26" s="13">
        <v>0</v>
      </c>
      <c r="K26" s="26">
        <v>6</v>
      </c>
      <c r="L26" s="13" t="s">
        <v>42</v>
      </c>
      <c r="M26" s="13">
        <v>2</v>
      </c>
      <c r="N26" s="13" t="s">
        <v>48</v>
      </c>
      <c r="O26" s="26">
        <v>1</v>
      </c>
      <c r="P26" s="26">
        <v>0</v>
      </c>
      <c r="Q26" s="26">
        <v>0</v>
      </c>
      <c r="R26" s="26">
        <v>3</v>
      </c>
      <c r="S26" s="13" t="s">
        <v>49</v>
      </c>
      <c r="T26" s="13" t="s">
        <v>50</v>
      </c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8"/>
      <c r="AM26" s="12"/>
    </row>
    <row r="27" s="1" customFormat="1" ht="13.5" customHeight="1" outlineLevel="1" spans="1:83">
      <c r="A27" s="13"/>
      <c r="B27" s="13"/>
      <c r="C27" s="13"/>
      <c r="D27" s="13"/>
      <c r="E27" s="13"/>
      <c r="F27" s="13"/>
      <c r="G27" s="26" t="s">
        <v>111</v>
      </c>
      <c r="H27" s="27" t="s">
        <v>112</v>
      </c>
      <c r="I27" s="16" t="s">
        <v>47</v>
      </c>
      <c r="J27" s="13">
        <v>1</v>
      </c>
      <c r="K27" s="26">
        <v>8</v>
      </c>
      <c r="L27" s="13" t="s">
        <v>42</v>
      </c>
      <c r="M27" s="13">
        <v>1</v>
      </c>
      <c r="N27" s="13" t="s">
        <v>48</v>
      </c>
      <c r="O27" s="26">
        <v>1</v>
      </c>
      <c r="P27" s="26">
        <v>0</v>
      </c>
      <c r="Q27" s="26">
        <v>0</v>
      </c>
      <c r="R27" s="26">
        <v>1</v>
      </c>
      <c r="S27" s="13" t="s">
        <v>49</v>
      </c>
      <c r="T27" s="13" t="s">
        <v>108</v>
      </c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8"/>
      <c r="AM27" s="12"/>
    </row>
    <row r="28" s="1" customFormat="1" ht="13.5" customHeight="1" spans="1:83">
      <c r="A28" s="7" t="s">
        <v>113</v>
      </c>
      <c r="B28" s="8" t="s">
        <v>40</v>
      </c>
      <c r="C28" s="28" t="s">
        <v>114</v>
      </c>
      <c r="D28" s="7" t="s">
        <v>42</v>
      </c>
      <c r="E28" s="7">
        <v>100</v>
      </c>
      <c r="F28" s="7">
        <v>8</v>
      </c>
      <c r="G28" s="7"/>
      <c r="H28" s="7" t="s">
        <v>26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10" t="s">
        <v>43</v>
      </c>
      <c r="AA28" s="10" t="s">
        <v>44</v>
      </c>
      <c r="AB28" s="7"/>
      <c r="AC28" s="7"/>
      <c r="AD28" s="7"/>
      <c r="AE28" s="7"/>
      <c r="AF28" s="7"/>
      <c r="AG28" s="7"/>
      <c r="AH28" s="7"/>
      <c r="AI28" s="7"/>
      <c r="AJ28" s="10" t="s">
        <v>43</v>
      </c>
      <c r="AK28" s="10" t="s">
        <v>43</v>
      </c>
      <c r="AL28" s="29"/>
      <c r="AM28" s="12">
        <f>1000/E28</f>
        <v>10</v>
      </c>
      <c r="AN28" s="30"/>
    </row>
    <row r="29" s="1" customFormat="1" ht="13.5" customHeight="1" outlineLevel="1" spans="1:83">
      <c r="A29" s="13"/>
      <c r="B29" s="13"/>
      <c r="C29" s="13"/>
      <c r="D29" s="13"/>
      <c r="E29" s="13"/>
      <c r="F29" s="13"/>
      <c r="G29" s="13" t="s">
        <v>115</v>
      </c>
      <c r="H29" s="31" t="s">
        <v>116</v>
      </c>
      <c r="I29" s="16" t="s">
        <v>72</v>
      </c>
      <c r="J29" s="13">
        <v>0</v>
      </c>
      <c r="K29" s="13">
        <v>4</v>
      </c>
      <c r="L29" s="13" t="s">
        <v>42</v>
      </c>
      <c r="M29" s="13">
        <v>4</v>
      </c>
      <c r="N29" s="13" t="s">
        <v>48</v>
      </c>
      <c r="O29" s="13">
        <v>1</v>
      </c>
      <c r="P29" s="13">
        <v>0</v>
      </c>
      <c r="Q29" s="13">
        <v>0</v>
      </c>
      <c r="R29" s="13">
        <v>15</v>
      </c>
      <c r="S29" s="13" t="s">
        <v>49</v>
      </c>
      <c r="T29" s="13" t="s">
        <v>61</v>
      </c>
      <c r="U29" s="13" t="s">
        <v>49</v>
      </c>
      <c r="V29" s="13"/>
      <c r="W29" s="13"/>
      <c r="X29" s="13"/>
      <c r="Y29" s="13" t="s">
        <v>117</v>
      </c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8"/>
      <c r="AM29" s="13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</row>
    <row r="30" s="1" customFormat="1" ht="13.5" customHeight="1" spans="1:83">
      <c r="A30" s="7" t="s">
        <v>118</v>
      </c>
      <c r="B30" s="8" t="s">
        <v>40</v>
      </c>
      <c r="C30" s="7" t="s">
        <v>119</v>
      </c>
      <c r="D30" s="7" t="s">
        <v>42</v>
      </c>
      <c r="E30" s="7">
        <v>100</v>
      </c>
      <c r="F30" s="7">
        <v>8</v>
      </c>
      <c r="G30" s="7"/>
      <c r="H30" s="7" t="s">
        <v>120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10" t="s">
        <v>43</v>
      </c>
      <c r="AA30" s="7"/>
      <c r="AB30" s="10" t="s">
        <v>43</v>
      </c>
      <c r="AC30" s="7"/>
      <c r="AD30" s="7"/>
      <c r="AE30" s="7"/>
      <c r="AF30" s="7"/>
      <c r="AG30" s="7"/>
      <c r="AH30" s="7"/>
      <c r="AI30" s="7"/>
      <c r="AJ30" s="10" t="s">
        <v>44</v>
      </c>
      <c r="AK30" s="33"/>
      <c r="AL30" s="29"/>
      <c r="AM30" s="12">
        <f>1000/E30</f>
        <v>10</v>
      </c>
    </row>
    <row r="31" ht="13.5" customHeight="1" outlineLevel="1" spans="1:83">
      <c r="A31" s="34"/>
      <c r="B31" s="34"/>
      <c r="C31" s="34"/>
      <c r="D31" s="34"/>
      <c r="E31" s="34"/>
      <c r="F31" s="34"/>
      <c r="G31" s="35" t="s">
        <v>121</v>
      </c>
      <c r="H31" s="36" t="s">
        <v>122</v>
      </c>
      <c r="I31" s="13" t="s">
        <v>72</v>
      </c>
      <c r="J31" s="13">
        <v>0</v>
      </c>
      <c r="K31" s="13">
        <v>0</v>
      </c>
      <c r="L31" s="13" t="s">
        <v>42</v>
      </c>
      <c r="M31" s="13">
        <v>4</v>
      </c>
      <c r="N31" s="13" t="s">
        <v>48</v>
      </c>
      <c r="O31" s="13">
        <v>1</v>
      </c>
      <c r="P31" s="13">
        <v>0</v>
      </c>
      <c r="Q31" s="13">
        <v>0</v>
      </c>
      <c r="R31" s="13">
        <v>15</v>
      </c>
      <c r="S31" s="13" t="s">
        <v>49</v>
      </c>
      <c r="T31" s="13" t="s">
        <v>61</v>
      </c>
      <c r="U31" s="34"/>
      <c r="V31" s="34"/>
      <c r="W31" s="34"/>
      <c r="X31" s="34"/>
      <c r="Y31" s="13" t="s">
        <v>123</v>
      </c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7"/>
      <c r="AM31" s="12"/>
    </row>
    <row r="32" ht="13.5" customHeight="1" outlineLevel="1" spans="1:83">
      <c r="A32" s="34"/>
      <c r="B32" s="34"/>
      <c r="C32" s="34"/>
      <c r="D32" s="34"/>
      <c r="E32" s="34"/>
      <c r="F32" s="34"/>
      <c r="G32" s="35" t="s">
        <v>124</v>
      </c>
      <c r="H32" s="36" t="s">
        <v>125</v>
      </c>
      <c r="I32" s="13" t="s">
        <v>72</v>
      </c>
      <c r="J32" s="13">
        <v>1</v>
      </c>
      <c r="K32" s="13">
        <v>8</v>
      </c>
      <c r="L32" s="13" t="s">
        <v>42</v>
      </c>
      <c r="M32" s="13">
        <v>2</v>
      </c>
      <c r="N32" s="13" t="s">
        <v>48</v>
      </c>
      <c r="O32" s="13">
        <v>1</v>
      </c>
      <c r="P32" s="13">
        <v>0</v>
      </c>
      <c r="Q32" s="13">
        <v>0</v>
      </c>
      <c r="R32" s="13">
        <v>3</v>
      </c>
      <c r="S32" s="13" t="s">
        <v>49</v>
      </c>
      <c r="T32" s="13" t="s">
        <v>50</v>
      </c>
      <c r="U32" s="34"/>
      <c r="V32" s="34"/>
      <c r="W32" s="34"/>
      <c r="X32" s="34"/>
      <c r="Y32" s="13" t="s">
        <v>126</v>
      </c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7"/>
      <c r="AM32" s="12"/>
    </row>
    <row r="33" ht="13.5" customHeight="1" outlineLevel="1" spans="1:39">
      <c r="A33" s="34"/>
      <c r="B33" s="34"/>
      <c r="C33" s="34"/>
      <c r="D33" s="34"/>
      <c r="E33" s="34"/>
      <c r="F33" s="34"/>
      <c r="G33" s="35" t="s">
        <v>127</v>
      </c>
      <c r="H33" s="36" t="s">
        <v>128</v>
      </c>
      <c r="I33" s="13" t="s">
        <v>72</v>
      </c>
      <c r="J33" s="13">
        <v>2</v>
      </c>
      <c r="K33" s="13">
        <v>20</v>
      </c>
      <c r="L33" s="13" t="s">
        <v>42</v>
      </c>
      <c r="M33" s="13">
        <v>2</v>
      </c>
      <c r="N33" s="13" t="s">
        <v>48</v>
      </c>
      <c r="O33" s="13">
        <v>1</v>
      </c>
      <c r="P33" s="13">
        <v>0</v>
      </c>
      <c r="Q33" s="13">
        <v>0</v>
      </c>
      <c r="R33" s="13">
        <v>3</v>
      </c>
      <c r="S33" s="13" t="s">
        <v>49</v>
      </c>
      <c r="T33" s="13" t="s">
        <v>50</v>
      </c>
      <c r="U33" s="34"/>
      <c r="V33" s="34"/>
      <c r="W33" s="34"/>
      <c r="X33" s="34"/>
      <c r="Y33" s="13" t="s">
        <v>129</v>
      </c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7"/>
      <c r="AM33" s="12"/>
    </row>
    <row r="34" ht="13.5" customHeight="1" outlineLevel="1" spans="1:39">
      <c r="A34" s="34"/>
      <c r="B34" s="34"/>
      <c r="C34" s="34"/>
      <c r="D34" s="34"/>
      <c r="E34" s="34"/>
      <c r="F34" s="34"/>
      <c r="G34" s="35" t="s">
        <v>130</v>
      </c>
      <c r="H34" s="36" t="s">
        <v>131</v>
      </c>
      <c r="I34" s="13" t="s">
        <v>72</v>
      </c>
      <c r="J34" s="13">
        <v>2</v>
      </c>
      <c r="K34" s="13">
        <v>22</v>
      </c>
      <c r="L34" s="13" t="s">
        <v>42</v>
      </c>
      <c r="M34" s="13">
        <v>2</v>
      </c>
      <c r="N34" s="13" t="s">
        <v>48</v>
      </c>
      <c r="O34" s="13">
        <v>1</v>
      </c>
      <c r="P34" s="13">
        <v>0</v>
      </c>
      <c r="Q34" s="13">
        <v>0</v>
      </c>
      <c r="R34" s="13">
        <v>3</v>
      </c>
      <c r="S34" s="13" t="s">
        <v>49</v>
      </c>
      <c r="T34" s="13" t="s">
        <v>50</v>
      </c>
      <c r="U34" s="34"/>
      <c r="V34" s="34"/>
      <c r="W34" s="34"/>
      <c r="X34" s="34"/>
      <c r="Y34" s="13" t="s">
        <v>132</v>
      </c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7"/>
      <c r="AM34" s="12"/>
    </row>
    <row r="35" ht="13.5" customHeight="1" outlineLevel="1" spans="1:39">
      <c r="A35" s="34"/>
      <c r="B35" s="34"/>
      <c r="C35" s="34"/>
      <c r="D35" s="34"/>
      <c r="E35" s="34"/>
      <c r="F35" s="34"/>
      <c r="G35" s="35" t="s">
        <v>133</v>
      </c>
      <c r="H35" s="38" t="s">
        <v>134</v>
      </c>
      <c r="I35" s="13" t="s">
        <v>72</v>
      </c>
      <c r="J35" s="13">
        <v>3</v>
      </c>
      <c r="K35" s="13">
        <v>24</v>
      </c>
      <c r="L35" s="13" t="s">
        <v>42</v>
      </c>
      <c r="M35" s="13">
        <v>2</v>
      </c>
      <c r="N35" s="13" t="s">
        <v>48</v>
      </c>
      <c r="O35" s="13">
        <v>1</v>
      </c>
      <c r="P35" s="13">
        <v>0</v>
      </c>
      <c r="Q35" s="13">
        <v>0</v>
      </c>
      <c r="R35" s="13">
        <v>3</v>
      </c>
      <c r="S35" s="13" t="s">
        <v>49</v>
      </c>
      <c r="T35" s="13" t="s">
        <v>50</v>
      </c>
      <c r="U35" s="34"/>
      <c r="V35" s="34"/>
      <c r="W35" s="34"/>
      <c r="X35" s="34"/>
      <c r="Y35" s="13" t="s">
        <v>135</v>
      </c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7"/>
      <c r="AM35" s="12"/>
    </row>
    <row r="36" ht="13.5" customHeight="1" outlineLevel="1" spans="1:39">
      <c r="A36" s="34"/>
      <c r="B36" s="34"/>
      <c r="C36" s="34"/>
      <c r="D36" s="34"/>
      <c r="E36" s="34"/>
      <c r="F36" s="34"/>
      <c r="G36" s="35" t="s">
        <v>136</v>
      </c>
      <c r="H36" s="36" t="s">
        <v>137</v>
      </c>
      <c r="I36" s="13" t="s">
        <v>72</v>
      </c>
      <c r="J36" s="13">
        <v>3</v>
      </c>
      <c r="K36" s="13">
        <v>26</v>
      </c>
      <c r="L36" s="13" t="s">
        <v>42</v>
      </c>
      <c r="M36" s="13">
        <v>2</v>
      </c>
      <c r="N36" s="13" t="s">
        <v>48</v>
      </c>
      <c r="O36" s="13">
        <v>1</v>
      </c>
      <c r="P36" s="13">
        <v>0</v>
      </c>
      <c r="Q36" s="13">
        <v>0</v>
      </c>
      <c r="R36" s="13">
        <v>3</v>
      </c>
      <c r="S36" s="13" t="s">
        <v>49</v>
      </c>
      <c r="T36" s="13" t="s">
        <v>50</v>
      </c>
      <c r="U36" s="34"/>
      <c r="V36" s="34"/>
      <c r="W36" s="34"/>
      <c r="X36" s="34"/>
      <c r="Y36" s="13" t="s">
        <v>135</v>
      </c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7"/>
      <c r="AM36" s="12"/>
    </row>
    <row r="37" ht="13.5" customHeight="1" outlineLevel="1" spans="1:39">
      <c r="A37" s="34"/>
      <c r="B37" s="34"/>
      <c r="C37" s="34"/>
      <c r="D37" s="34"/>
      <c r="E37" s="34"/>
      <c r="F37" s="34"/>
      <c r="G37" s="35" t="s">
        <v>138</v>
      </c>
      <c r="H37" s="38" t="s">
        <v>139</v>
      </c>
      <c r="I37" s="13" t="s">
        <v>72</v>
      </c>
      <c r="J37" s="13">
        <v>3</v>
      </c>
      <c r="K37" s="13">
        <v>28</v>
      </c>
      <c r="L37" s="13" t="s">
        <v>42</v>
      </c>
      <c r="M37" s="13">
        <v>2</v>
      </c>
      <c r="N37" s="13" t="s">
        <v>48</v>
      </c>
      <c r="O37" s="13">
        <v>1</v>
      </c>
      <c r="P37" s="13">
        <v>0</v>
      </c>
      <c r="Q37" s="13">
        <v>0</v>
      </c>
      <c r="R37" s="13">
        <v>3</v>
      </c>
      <c r="S37" s="13" t="s">
        <v>49</v>
      </c>
      <c r="T37" s="13" t="s">
        <v>50</v>
      </c>
      <c r="U37" s="34"/>
      <c r="V37" s="34"/>
      <c r="W37" s="34"/>
      <c r="X37" s="34"/>
      <c r="Y37" s="13" t="s">
        <v>140</v>
      </c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7"/>
      <c r="AM37" s="12"/>
    </row>
    <row r="38" ht="13.5" customHeight="1" outlineLevel="1" spans="1:39">
      <c r="A38" s="34"/>
      <c r="B38" s="34"/>
      <c r="C38" s="34"/>
      <c r="D38" s="34"/>
      <c r="E38" s="34"/>
      <c r="F38" s="34"/>
      <c r="G38" s="35" t="s">
        <v>141</v>
      </c>
      <c r="H38" s="38" t="s">
        <v>142</v>
      </c>
      <c r="I38" s="13" t="s">
        <v>72</v>
      </c>
      <c r="J38" s="13">
        <v>3</v>
      </c>
      <c r="K38" s="13">
        <v>30</v>
      </c>
      <c r="L38" s="13" t="s">
        <v>42</v>
      </c>
      <c r="M38" s="13">
        <v>2</v>
      </c>
      <c r="N38" s="13" t="s">
        <v>48</v>
      </c>
      <c r="O38" s="13">
        <v>1</v>
      </c>
      <c r="P38" s="13">
        <v>0</v>
      </c>
      <c r="Q38" s="13">
        <v>0</v>
      </c>
      <c r="R38" s="13">
        <v>3</v>
      </c>
      <c r="S38" s="13" t="s">
        <v>49</v>
      </c>
      <c r="T38" s="13" t="s">
        <v>50</v>
      </c>
      <c r="U38" s="34"/>
      <c r="V38" s="34"/>
      <c r="W38" s="34"/>
      <c r="X38" s="34"/>
      <c r="Y38" s="13" t="s">
        <v>140</v>
      </c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7"/>
      <c r="AM38" s="12"/>
    </row>
    <row r="39" ht="13.5" customHeight="1" outlineLevel="1" spans="1:39">
      <c r="A39" s="34"/>
      <c r="B39" s="34"/>
      <c r="C39" s="34"/>
      <c r="D39" s="34"/>
      <c r="E39" s="34"/>
      <c r="F39" s="34"/>
      <c r="G39" s="35" t="s">
        <v>143</v>
      </c>
      <c r="H39" s="38" t="s">
        <v>144</v>
      </c>
      <c r="I39" s="13" t="s">
        <v>72</v>
      </c>
      <c r="J39" s="13">
        <v>4</v>
      </c>
      <c r="K39" s="13">
        <v>32</v>
      </c>
      <c r="L39" s="13" t="s">
        <v>42</v>
      </c>
      <c r="M39" s="13">
        <v>2</v>
      </c>
      <c r="N39" s="13" t="s">
        <v>48</v>
      </c>
      <c r="O39" s="13">
        <v>1</v>
      </c>
      <c r="P39" s="13">
        <v>0</v>
      </c>
      <c r="Q39" s="13">
        <v>0</v>
      </c>
      <c r="R39" s="13">
        <v>3</v>
      </c>
      <c r="S39" s="13" t="s">
        <v>49</v>
      </c>
      <c r="T39" s="13" t="s">
        <v>50</v>
      </c>
      <c r="U39" s="34"/>
      <c r="V39" s="34"/>
      <c r="W39" s="34"/>
      <c r="X39" s="34"/>
      <c r="Y39" s="13" t="s">
        <v>140</v>
      </c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7"/>
      <c r="AM39" s="12"/>
    </row>
    <row r="40" ht="13.5" customHeight="1" outlineLevel="1" spans="1:39">
      <c r="A40" s="34"/>
      <c r="B40" s="34"/>
      <c r="C40" s="34"/>
      <c r="D40" s="34"/>
      <c r="E40" s="34"/>
      <c r="F40" s="34"/>
      <c r="G40" s="35" t="s">
        <v>145</v>
      </c>
      <c r="H40" s="38" t="s">
        <v>146</v>
      </c>
      <c r="I40" s="13" t="s">
        <v>72</v>
      </c>
      <c r="J40" s="13">
        <v>4</v>
      </c>
      <c r="K40" s="13">
        <v>34</v>
      </c>
      <c r="L40" s="13" t="s">
        <v>42</v>
      </c>
      <c r="M40" s="13">
        <v>3</v>
      </c>
      <c r="N40" s="13" t="s">
        <v>48</v>
      </c>
      <c r="O40" s="13">
        <v>1</v>
      </c>
      <c r="P40" s="13">
        <v>0</v>
      </c>
      <c r="Q40" s="13">
        <v>0</v>
      </c>
      <c r="R40" s="13">
        <v>5</v>
      </c>
      <c r="S40" s="13" t="s">
        <v>49</v>
      </c>
      <c r="T40" s="13" t="s">
        <v>103</v>
      </c>
      <c r="U40" s="34"/>
      <c r="V40" s="34"/>
      <c r="W40" s="34"/>
      <c r="X40" s="34"/>
      <c r="Y40" s="13" t="s">
        <v>147</v>
      </c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7"/>
      <c r="AM40" s="12"/>
    </row>
    <row r="41" ht="13.5" customHeight="1" outlineLevel="1" spans="1:39">
      <c r="A41" s="34"/>
      <c r="B41" s="34"/>
      <c r="C41" s="34"/>
      <c r="D41" s="34"/>
      <c r="E41" s="34"/>
      <c r="F41" s="34"/>
      <c r="G41" s="35" t="s">
        <v>148</v>
      </c>
      <c r="H41" s="38" t="s">
        <v>149</v>
      </c>
      <c r="I41" s="13" t="s">
        <v>72</v>
      </c>
      <c r="J41" s="13">
        <v>6</v>
      </c>
      <c r="K41" s="13">
        <v>48</v>
      </c>
      <c r="L41" s="13" t="s">
        <v>42</v>
      </c>
      <c r="M41" s="13">
        <v>3</v>
      </c>
      <c r="N41" s="13" t="s">
        <v>48</v>
      </c>
      <c r="O41" s="13">
        <v>1</v>
      </c>
      <c r="P41" s="13">
        <v>0</v>
      </c>
      <c r="Q41" s="13">
        <v>0</v>
      </c>
      <c r="R41" s="13">
        <v>7</v>
      </c>
      <c r="S41" s="13" t="s">
        <v>49</v>
      </c>
      <c r="T41" s="13" t="s">
        <v>103</v>
      </c>
      <c r="U41" s="34"/>
      <c r="V41" s="34"/>
      <c r="W41" s="34"/>
      <c r="X41" s="34"/>
      <c r="Y41" s="13" t="s">
        <v>150</v>
      </c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7"/>
      <c r="AM41" s="12"/>
    </row>
    <row r="42" ht="13.5" customHeight="1" outlineLevel="1" spans="1:39">
      <c r="A42" s="34"/>
      <c r="B42" s="34"/>
      <c r="C42" s="34"/>
      <c r="D42" s="34"/>
      <c r="E42" s="34"/>
      <c r="F42" s="34"/>
      <c r="G42" s="35" t="s">
        <v>151</v>
      </c>
      <c r="H42" s="38" t="s">
        <v>152</v>
      </c>
      <c r="I42" s="13" t="s">
        <v>72</v>
      </c>
      <c r="J42" s="13">
        <v>7</v>
      </c>
      <c r="K42" s="13">
        <v>56</v>
      </c>
      <c r="L42" s="13" t="s">
        <v>42</v>
      </c>
      <c r="M42" s="13">
        <v>2</v>
      </c>
      <c r="N42" s="13" t="s">
        <v>48</v>
      </c>
      <c r="O42" s="13">
        <v>1</v>
      </c>
      <c r="P42" s="13">
        <v>0</v>
      </c>
      <c r="Q42" s="13">
        <v>0</v>
      </c>
      <c r="R42" s="13">
        <v>3</v>
      </c>
      <c r="S42" s="13" t="s">
        <v>49</v>
      </c>
      <c r="T42" s="13" t="s">
        <v>50</v>
      </c>
      <c r="U42" s="34"/>
      <c r="V42" s="34"/>
      <c r="W42" s="34"/>
      <c r="X42" s="34"/>
      <c r="Y42" s="13" t="s">
        <v>153</v>
      </c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7"/>
      <c r="AM42" s="12"/>
    </row>
    <row r="43" s="1" customFormat="1" ht="13.5" customHeight="1" spans="1:39">
      <c r="A43" s="7" t="s">
        <v>154</v>
      </c>
      <c r="B43" s="8" t="s">
        <v>40</v>
      </c>
      <c r="C43" s="7" t="s">
        <v>155</v>
      </c>
      <c r="D43" s="7" t="s">
        <v>42</v>
      </c>
      <c r="E43" s="7">
        <v>100</v>
      </c>
      <c r="F43" s="7">
        <v>8</v>
      </c>
      <c r="G43" s="7"/>
      <c r="H43" s="7" t="s">
        <v>156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10" t="s">
        <v>43</v>
      </c>
      <c r="AA43" s="7"/>
      <c r="AB43" s="10" t="s">
        <v>43</v>
      </c>
      <c r="AC43" s="7"/>
      <c r="AD43" s="7"/>
      <c r="AE43" s="7"/>
      <c r="AF43" s="7"/>
      <c r="AG43" s="7"/>
      <c r="AH43" s="7"/>
      <c r="AI43" s="7"/>
      <c r="AJ43" s="7"/>
      <c r="AK43" s="10" t="s">
        <v>44</v>
      </c>
      <c r="AL43" s="29"/>
      <c r="AM43" s="12">
        <f>1000/E43</f>
        <v>10</v>
      </c>
    </row>
    <row r="44" customFormat="1" ht="13.5" customHeight="1" outlineLevel="1" spans="1:39">
      <c r="A44" s="34"/>
      <c r="B44" s="34"/>
      <c r="C44" s="34"/>
      <c r="D44" s="34"/>
      <c r="E44" s="34"/>
      <c r="F44" s="34"/>
      <c r="G44" s="35" t="s">
        <v>157</v>
      </c>
      <c r="H44" s="38" t="s">
        <v>158</v>
      </c>
      <c r="I44" s="13" t="s">
        <v>72</v>
      </c>
      <c r="J44" s="13">
        <v>0</v>
      </c>
      <c r="K44" s="13">
        <v>0</v>
      </c>
      <c r="L44" s="13" t="s">
        <v>42</v>
      </c>
      <c r="M44" s="13">
        <v>4</v>
      </c>
      <c r="N44" s="13" t="s">
        <v>48</v>
      </c>
      <c r="O44" s="13">
        <v>1</v>
      </c>
      <c r="P44" s="13">
        <v>0</v>
      </c>
      <c r="Q44" s="13">
        <v>0</v>
      </c>
      <c r="R44" s="13">
        <v>15</v>
      </c>
      <c r="S44" s="13" t="s">
        <v>49</v>
      </c>
      <c r="T44" s="13" t="s">
        <v>61</v>
      </c>
      <c r="U44" s="34"/>
      <c r="V44" s="34"/>
      <c r="W44" s="34"/>
      <c r="X44" s="34"/>
      <c r="Y44" s="13" t="s">
        <v>159</v>
      </c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7"/>
      <c r="AM44" s="12"/>
    </row>
    <row r="45" customFormat="1" ht="13.5" customHeight="1" outlineLevel="1" spans="1:39">
      <c r="A45" s="34"/>
      <c r="B45" s="34"/>
      <c r="C45" s="34"/>
      <c r="D45" s="34"/>
      <c r="E45" s="34"/>
      <c r="F45" s="34"/>
      <c r="G45" s="35" t="s">
        <v>160</v>
      </c>
      <c r="H45" s="38" t="s">
        <v>161</v>
      </c>
      <c r="I45" s="13" t="s">
        <v>72</v>
      </c>
      <c r="J45" s="13">
        <v>1</v>
      </c>
      <c r="K45" s="13">
        <v>8</v>
      </c>
      <c r="L45" s="13" t="s">
        <v>42</v>
      </c>
      <c r="M45" s="13">
        <v>2</v>
      </c>
      <c r="N45" s="13" t="s">
        <v>48</v>
      </c>
      <c r="O45" s="13">
        <v>1</v>
      </c>
      <c r="P45" s="13">
        <v>0</v>
      </c>
      <c r="Q45" s="13">
        <v>0</v>
      </c>
      <c r="R45" s="13">
        <v>3</v>
      </c>
      <c r="S45" s="13" t="s">
        <v>49</v>
      </c>
      <c r="T45" s="13" t="s">
        <v>50</v>
      </c>
      <c r="U45" s="34"/>
      <c r="V45" s="34"/>
      <c r="W45" s="34"/>
      <c r="X45" s="34"/>
      <c r="Y45" s="13" t="s">
        <v>126</v>
      </c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7"/>
      <c r="AM45" s="12"/>
    </row>
    <row r="46" customFormat="1" ht="13.5" customHeight="1" outlineLevel="1" spans="1:39">
      <c r="A46" s="34"/>
      <c r="B46" s="34"/>
      <c r="C46" s="34"/>
      <c r="D46" s="34"/>
      <c r="E46" s="34"/>
      <c r="F46" s="34"/>
      <c r="G46" s="35" t="s">
        <v>162</v>
      </c>
      <c r="H46" s="38" t="s">
        <v>163</v>
      </c>
      <c r="I46" s="13" t="s">
        <v>72</v>
      </c>
      <c r="J46" s="13">
        <v>2</v>
      </c>
      <c r="K46" s="13">
        <v>20</v>
      </c>
      <c r="L46" s="13" t="s">
        <v>42</v>
      </c>
      <c r="M46" s="13">
        <v>2</v>
      </c>
      <c r="N46" s="13" t="s">
        <v>48</v>
      </c>
      <c r="O46" s="13">
        <v>1</v>
      </c>
      <c r="P46" s="13">
        <v>0</v>
      </c>
      <c r="Q46" s="13">
        <v>0</v>
      </c>
      <c r="R46" s="13">
        <v>3</v>
      </c>
      <c r="S46" s="13" t="s">
        <v>49</v>
      </c>
      <c r="T46" s="13" t="s">
        <v>50</v>
      </c>
      <c r="U46" s="34"/>
      <c r="V46" s="34"/>
      <c r="W46" s="34"/>
      <c r="X46" s="34"/>
      <c r="Y46" s="13" t="s">
        <v>129</v>
      </c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7"/>
      <c r="AM46" s="12"/>
    </row>
    <row r="47" customFormat="1" ht="13.5" customHeight="1" outlineLevel="1" spans="1:39">
      <c r="A47" s="34"/>
      <c r="B47" s="34"/>
      <c r="C47" s="34"/>
      <c r="D47" s="34"/>
      <c r="E47" s="34"/>
      <c r="F47" s="34"/>
      <c r="G47" s="35" t="s">
        <v>164</v>
      </c>
      <c r="H47" s="38" t="s">
        <v>165</v>
      </c>
      <c r="I47" s="13" t="s">
        <v>72</v>
      </c>
      <c r="J47" s="13">
        <v>2</v>
      </c>
      <c r="K47" s="13">
        <v>22</v>
      </c>
      <c r="L47" s="13" t="s">
        <v>42</v>
      </c>
      <c r="M47" s="13">
        <v>2</v>
      </c>
      <c r="N47" s="13" t="s">
        <v>48</v>
      </c>
      <c r="O47" s="13">
        <v>1</v>
      </c>
      <c r="P47" s="13">
        <v>0</v>
      </c>
      <c r="Q47" s="13">
        <v>0</v>
      </c>
      <c r="R47" s="13">
        <v>3</v>
      </c>
      <c r="S47" s="13" t="s">
        <v>49</v>
      </c>
      <c r="T47" s="13" t="s">
        <v>50</v>
      </c>
      <c r="U47" s="34"/>
      <c r="V47" s="34"/>
      <c r="W47" s="34"/>
      <c r="X47" s="34"/>
      <c r="Y47" s="13" t="s">
        <v>132</v>
      </c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7"/>
      <c r="AM47" s="12"/>
    </row>
    <row r="48" customFormat="1" ht="13.5" customHeight="1" outlineLevel="1" spans="1:39">
      <c r="A48" s="34"/>
      <c r="B48" s="34"/>
      <c r="C48" s="34"/>
      <c r="D48" s="34"/>
      <c r="E48" s="34"/>
      <c r="F48" s="34"/>
      <c r="G48" s="35" t="s">
        <v>166</v>
      </c>
      <c r="H48" s="38" t="s">
        <v>167</v>
      </c>
      <c r="I48" s="13" t="s">
        <v>72</v>
      </c>
      <c r="J48" s="13">
        <v>3</v>
      </c>
      <c r="K48" s="13">
        <v>24</v>
      </c>
      <c r="L48" s="13" t="s">
        <v>42</v>
      </c>
      <c r="M48" s="13">
        <v>2</v>
      </c>
      <c r="N48" s="13" t="s">
        <v>48</v>
      </c>
      <c r="O48" s="13">
        <v>1</v>
      </c>
      <c r="P48" s="13">
        <v>0</v>
      </c>
      <c r="Q48" s="13">
        <v>0</v>
      </c>
      <c r="R48" s="13">
        <v>3</v>
      </c>
      <c r="S48" s="13" t="s">
        <v>49</v>
      </c>
      <c r="T48" s="13" t="s">
        <v>50</v>
      </c>
      <c r="U48" s="34"/>
      <c r="V48" s="34"/>
      <c r="W48" s="34"/>
      <c r="X48" s="34"/>
      <c r="Y48" s="13" t="s">
        <v>135</v>
      </c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7"/>
      <c r="AM48" s="12"/>
    </row>
    <row r="49" customFormat="1" ht="13.5" customHeight="1" outlineLevel="1" spans="1:72">
      <c r="A49" s="34"/>
      <c r="B49" s="34"/>
      <c r="C49" s="34"/>
      <c r="D49" s="34"/>
      <c r="E49" s="34"/>
      <c r="F49" s="34"/>
      <c r="G49" s="35" t="s">
        <v>168</v>
      </c>
      <c r="H49" s="38" t="s">
        <v>169</v>
      </c>
      <c r="I49" s="13" t="s">
        <v>72</v>
      </c>
      <c r="J49" s="13">
        <v>3</v>
      </c>
      <c r="K49" s="13">
        <v>26</v>
      </c>
      <c r="L49" s="13" t="s">
        <v>42</v>
      </c>
      <c r="M49" s="13">
        <v>2</v>
      </c>
      <c r="N49" s="13" t="s">
        <v>48</v>
      </c>
      <c r="O49" s="13">
        <v>1</v>
      </c>
      <c r="P49" s="13">
        <v>0</v>
      </c>
      <c r="Q49" s="13">
        <v>0</v>
      </c>
      <c r="R49" s="13">
        <v>3</v>
      </c>
      <c r="S49" s="13" t="s">
        <v>49</v>
      </c>
      <c r="T49" s="13" t="s">
        <v>50</v>
      </c>
      <c r="U49" s="34"/>
      <c r="V49" s="34"/>
      <c r="W49" s="34"/>
      <c r="X49" s="34"/>
      <c r="Y49" s="13" t="s">
        <v>135</v>
      </c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7"/>
      <c r="AM49" s="12"/>
    </row>
    <row r="50" customFormat="1" ht="13.5" customHeight="1" outlineLevel="1" spans="1:72">
      <c r="A50" s="34"/>
      <c r="B50" s="34"/>
      <c r="C50" s="34"/>
      <c r="D50" s="34"/>
      <c r="E50" s="34"/>
      <c r="F50" s="34"/>
      <c r="G50" s="35" t="s">
        <v>170</v>
      </c>
      <c r="H50" s="38" t="s">
        <v>171</v>
      </c>
      <c r="I50" s="13" t="s">
        <v>72</v>
      </c>
      <c r="J50" s="13">
        <v>3</v>
      </c>
      <c r="K50" s="13">
        <v>28</v>
      </c>
      <c r="L50" s="13" t="s">
        <v>42</v>
      </c>
      <c r="M50" s="13">
        <v>2</v>
      </c>
      <c r="N50" s="13" t="s">
        <v>48</v>
      </c>
      <c r="O50" s="13">
        <v>1</v>
      </c>
      <c r="P50" s="13">
        <v>0</v>
      </c>
      <c r="Q50" s="13">
        <v>0</v>
      </c>
      <c r="R50" s="13">
        <v>3</v>
      </c>
      <c r="S50" s="13" t="s">
        <v>49</v>
      </c>
      <c r="T50" s="13" t="s">
        <v>50</v>
      </c>
      <c r="U50" s="34"/>
      <c r="V50" s="34"/>
      <c r="W50" s="34"/>
      <c r="X50" s="34"/>
      <c r="Y50" s="13" t="s">
        <v>140</v>
      </c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7"/>
      <c r="AM50" s="12"/>
    </row>
    <row r="51" customFormat="1" ht="13.5" customHeight="1" outlineLevel="1" spans="1:72">
      <c r="A51" s="34"/>
      <c r="B51" s="34"/>
      <c r="C51" s="34"/>
      <c r="D51" s="34"/>
      <c r="E51" s="34"/>
      <c r="F51" s="34"/>
      <c r="G51" s="35" t="s">
        <v>172</v>
      </c>
      <c r="H51" s="38" t="s">
        <v>173</v>
      </c>
      <c r="I51" s="13" t="s">
        <v>72</v>
      </c>
      <c r="J51" s="13">
        <v>3</v>
      </c>
      <c r="K51" s="13">
        <v>30</v>
      </c>
      <c r="L51" s="13" t="s">
        <v>42</v>
      </c>
      <c r="M51" s="13">
        <v>2</v>
      </c>
      <c r="N51" s="13" t="s">
        <v>48</v>
      </c>
      <c r="O51" s="13">
        <v>1</v>
      </c>
      <c r="P51" s="13">
        <v>0</v>
      </c>
      <c r="Q51" s="13">
        <v>0</v>
      </c>
      <c r="R51" s="13">
        <v>3</v>
      </c>
      <c r="S51" s="13" t="s">
        <v>49</v>
      </c>
      <c r="T51" s="13" t="s">
        <v>50</v>
      </c>
      <c r="U51" s="34"/>
      <c r="V51" s="34"/>
      <c r="W51" s="34"/>
      <c r="X51" s="34"/>
      <c r="Y51" s="13" t="s">
        <v>140</v>
      </c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7"/>
      <c r="AM51" s="12"/>
    </row>
    <row r="52" customFormat="1" ht="13.5" customHeight="1" outlineLevel="1" spans="1:72">
      <c r="A52" s="34"/>
      <c r="B52" s="34"/>
      <c r="C52" s="34"/>
      <c r="D52" s="34"/>
      <c r="E52" s="34"/>
      <c r="F52" s="34"/>
      <c r="G52" s="35" t="s">
        <v>174</v>
      </c>
      <c r="H52" s="38" t="s">
        <v>175</v>
      </c>
      <c r="I52" s="13" t="s">
        <v>72</v>
      </c>
      <c r="J52" s="13">
        <v>4</v>
      </c>
      <c r="K52" s="13">
        <v>32</v>
      </c>
      <c r="L52" s="13" t="s">
        <v>42</v>
      </c>
      <c r="M52" s="13">
        <v>2</v>
      </c>
      <c r="N52" s="13" t="s">
        <v>48</v>
      </c>
      <c r="O52" s="13">
        <v>1</v>
      </c>
      <c r="P52" s="13">
        <v>0</v>
      </c>
      <c r="Q52" s="13">
        <v>0</v>
      </c>
      <c r="R52" s="13">
        <v>3</v>
      </c>
      <c r="S52" s="13" t="s">
        <v>49</v>
      </c>
      <c r="T52" s="13" t="s">
        <v>50</v>
      </c>
      <c r="U52" s="34"/>
      <c r="V52" s="34"/>
      <c r="W52" s="34"/>
      <c r="X52" s="34"/>
      <c r="Y52" s="13" t="s">
        <v>140</v>
      </c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7"/>
      <c r="AM52" s="12"/>
    </row>
    <row r="53" customFormat="1" ht="13.5" customHeight="1" outlineLevel="1" spans="1:72">
      <c r="A53" s="34"/>
      <c r="B53" s="34"/>
      <c r="C53" s="34"/>
      <c r="D53" s="34"/>
      <c r="E53" s="34"/>
      <c r="F53" s="34"/>
      <c r="G53" s="35" t="s">
        <v>176</v>
      </c>
      <c r="H53" s="38" t="s">
        <v>177</v>
      </c>
      <c r="I53" s="13" t="s">
        <v>72</v>
      </c>
      <c r="J53" s="13">
        <v>4</v>
      </c>
      <c r="K53" s="13">
        <v>34</v>
      </c>
      <c r="L53" s="13" t="s">
        <v>42</v>
      </c>
      <c r="M53" s="13">
        <v>3</v>
      </c>
      <c r="N53" s="13" t="s">
        <v>48</v>
      </c>
      <c r="O53" s="13">
        <v>1</v>
      </c>
      <c r="P53" s="13">
        <v>0</v>
      </c>
      <c r="Q53" s="13">
        <v>0</v>
      </c>
      <c r="R53" s="13">
        <v>5</v>
      </c>
      <c r="S53" s="13" t="s">
        <v>49</v>
      </c>
      <c r="T53" s="13" t="s">
        <v>103</v>
      </c>
      <c r="U53" s="34"/>
      <c r="V53" s="34"/>
      <c r="W53" s="34"/>
      <c r="X53" s="34"/>
      <c r="Y53" s="13" t="s">
        <v>147</v>
      </c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7"/>
      <c r="AM53" s="12"/>
    </row>
    <row r="54" customFormat="1" ht="13.5" customHeight="1" outlineLevel="1" spans="1:72">
      <c r="A54" s="34"/>
      <c r="B54" s="34"/>
      <c r="C54" s="34"/>
      <c r="D54" s="34"/>
      <c r="E54" s="34"/>
      <c r="F54" s="34"/>
      <c r="G54" s="35" t="s">
        <v>178</v>
      </c>
      <c r="H54" s="38" t="s">
        <v>179</v>
      </c>
      <c r="I54" s="13" t="s">
        <v>72</v>
      </c>
      <c r="J54" s="13">
        <v>6</v>
      </c>
      <c r="K54" s="13">
        <v>48</v>
      </c>
      <c r="L54" s="13" t="s">
        <v>42</v>
      </c>
      <c r="M54" s="13">
        <v>3</v>
      </c>
      <c r="N54" s="13" t="s">
        <v>48</v>
      </c>
      <c r="O54" s="13">
        <v>1</v>
      </c>
      <c r="P54" s="13">
        <v>0</v>
      </c>
      <c r="Q54" s="13">
        <v>0</v>
      </c>
      <c r="R54" s="13">
        <v>7</v>
      </c>
      <c r="S54" s="13" t="s">
        <v>49</v>
      </c>
      <c r="T54" s="13" t="s">
        <v>103</v>
      </c>
      <c r="U54" s="34"/>
      <c r="V54" s="34"/>
      <c r="W54" s="34"/>
      <c r="X54" s="34"/>
      <c r="Y54" s="13" t="s">
        <v>150</v>
      </c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7"/>
      <c r="AM54" s="12"/>
    </row>
    <row r="55" customFormat="1" ht="13.5" customHeight="1" outlineLevel="1" spans="1:72">
      <c r="A55" s="34"/>
      <c r="B55" s="34"/>
      <c r="C55" s="34"/>
      <c r="D55" s="34"/>
      <c r="E55" s="34"/>
      <c r="F55" s="34"/>
      <c r="G55" s="35" t="s">
        <v>180</v>
      </c>
      <c r="H55" s="38" t="s">
        <v>181</v>
      </c>
      <c r="I55" s="13" t="s">
        <v>72</v>
      </c>
      <c r="J55" s="13">
        <v>7</v>
      </c>
      <c r="K55" s="13">
        <v>56</v>
      </c>
      <c r="L55" s="13" t="s">
        <v>42</v>
      </c>
      <c r="M55" s="13">
        <v>2</v>
      </c>
      <c r="N55" s="13" t="s">
        <v>48</v>
      </c>
      <c r="O55" s="13">
        <v>1</v>
      </c>
      <c r="P55" s="13">
        <v>0</v>
      </c>
      <c r="Q55" s="13">
        <v>0</v>
      </c>
      <c r="R55" s="13">
        <v>3</v>
      </c>
      <c r="S55" s="13" t="s">
        <v>49</v>
      </c>
      <c r="T55" s="13" t="s">
        <v>50</v>
      </c>
      <c r="U55" s="34"/>
      <c r="V55" s="34"/>
      <c r="W55" s="34"/>
      <c r="X55" s="34"/>
      <c r="Y55" s="13" t="s">
        <v>153</v>
      </c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7"/>
      <c r="AM55" s="12"/>
    </row>
    <row r="56" s="1" customFormat="1" ht="13.5" customHeight="1" spans="1:72">
      <c r="A56" s="7" t="s">
        <v>182</v>
      </c>
      <c r="B56" s="8" t="s">
        <v>40</v>
      </c>
      <c r="C56" s="7" t="s">
        <v>183</v>
      </c>
      <c r="D56" s="7" t="s">
        <v>42</v>
      </c>
      <c r="E56" s="7">
        <v>100</v>
      </c>
      <c r="F56" s="7">
        <v>8</v>
      </c>
      <c r="G56" s="7"/>
      <c r="H56" s="8" t="s">
        <v>184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10" t="s">
        <v>44</v>
      </c>
      <c r="AA56" s="7"/>
      <c r="AB56" s="10" t="s">
        <v>43</v>
      </c>
      <c r="AC56" s="7"/>
      <c r="AD56" s="7"/>
      <c r="AE56" s="7"/>
      <c r="AF56" s="7"/>
      <c r="AG56" s="7"/>
      <c r="AH56" s="7"/>
      <c r="AI56" s="7"/>
      <c r="AJ56" s="10" t="s">
        <v>43</v>
      </c>
      <c r="AK56" s="10" t="s">
        <v>43</v>
      </c>
      <c r="AL56" s="11"/>
      <c r="AM56" s="12">
        <f>1000/E56</f>
        <v>10</v>
      </c>
    </row>
    <row r="57" s="1" customFormat="1" ht="13.5" customHeight="1" outlineLevel="1" spans="1:72">
      <c r="A57" s="13"/>
      <c r="B57" s="13"/>
      <c r="C57" s="13"/>
      <c r="D57" s="13"/>
      <c r="E57" s="13"/>
      <c r="F57" s="13"/>
      <c r="G57" s="13" t="s">
        <v>185</v>
      </c>
      <c r="H57" s="13" t="s">
        <v>186</v>
      </c>
      <c r="I57" s="16" t="s">
        <v>47</v>
      </c>
      <c r="J57" s="13">
        <v>0</v>
      </c>
      <c r="K57" s="13">
        <v>0</v>
      </c>
      <c r="L57" s="13" t="s">
        <v>42</v>
      </c>
      <c r="M57" s="13">
        <v>8</v>
      </c>
      <c r="N57" s="13" t="s">
        <v>48</v>
      </c>
      <c r="O57" s="13">
        <v>1</v>
      </c>
      <c r="P57" s="13">
        <v>0</v>
      </c>
      <c r="Q57" s="13">
        <v>0</v>
      </c>
      <c r="R57" s="13">
        <v>200</v>
      </c>
      <c r="S57" s="13" t="s">
        <v>49</v>
      </c>
      <c r="T57" s="13" t="s">
        <v>68</v>
      </c>
      <c r="U57" s="13" t="s">
        <v>49</v>
      </c>
      <c r="V57" s="13"/>
      <c r="W57" s="13" t="s">
        <v>49</v>
      </c>
      <c r="X57" s="13" t="s">
        <v>187</v>
      </c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8"/>
      <c r="AM57" s="1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</row>
    <row r="58" s="1" customFormat="1" ht="13.5" customHeight="1" outlineLevel="1" spans="1:72">
      <c r="A58" s="13"/>
      <c r="B58" s="13"/>
      <c r="C58" s="13"/>
      <c r="D58" s="13"/>
      <c r="E58" s="13"/>
      <c r="F58" s="13"/>
      <c r="G58" s="13" t="s">
        <v>188</v>
      </c>
      <c r="H58" s="13" t="s">
        <v>189</v>
      </c>
      <c r="I58" s="16" t="s">
        <v>47</v>
      </c>
      <c r="J58" s="13">
        <v>1</v>
      </c>
      <c r="K58" s="13">
        <v>8</v>
      </c>
      <c r="L58" s="13" t="s">
        <v>42</v>
      </c>
      <c r="M58" s="13">
        <v>3</v>
      </c>
      <c r="N58" s="13" t="s">
        <v>48</v>
      </c>
      <c r="O58" s="13">
        <v>1</v>
      </c>
      <c r="P58" s="13">
        <v>0</v>
      </c>
      <c r="Q58" s="13">
        <v>0</v>
      </c>
      <c r="R58" s="13">
        <v>7</v>
      </c>
      <c r="S58" s="13" t="s">
        <v>49</v>
      </c>
      <c r="T58" s="13" t="s">
        <v>103</v>
      </c>
      <c r="U58" s="13" t="s">
        <v>49</v>
      </c>
      <c r="V58" s="13"/>
      <c r="W58" s="13" t="s">
        <v>49</v>
      </c>
      <c r="X58" s="13"/>
      <c r="Y58" s="39" t="s">
        <v>190</v>
      </c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8"/>
      <c r="AM58" s="1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</row>
    <row r="59" s="1" customFormat="1" ht="13.5" customHeight="1" outlineLevel="1" spans="1:72">
      <c r="A59" s="13"/>
      <c r="B59" s="13"/>
      <c r="C59" s="13"/>
      <c r="D59" s="13"/>
      <c r="E59" s="13"/>
      <c r="F59" s="13"/>
      <c r="G59" s="13" t="s">
        <v>191</v>
      </c>
      <c r="H59" s="13" t="s">
        <v>192</v>
      </c>
      <c r="I59" s="16" t="s">
        <v>47</v>
      </c>
      <c r="J59" s="13">
        <v>1</v>
      </c>
      <c r="K59" s="13">
        <v>11</v>
      </c>
      <c r="L59" s="13" t="s">
        <v>42</v>
      </c>
      <c r="M59" s="13">
        <v>3</v>
      </c>
      <c r="N59" s="13" t="s">
        <v>48</v>
      </c>
      <c r="O59" s="13">
        <v>1</v>
      </c>
      <c r="P59" s="13">
        <v>0</v>
      </c>
      <c r="Q59" s="13">
        <v>0</v>
      </c>
      <c r="R59" s="13">
        <v>7</v>
      </c>
      <c r="S59" s="13" t="s">
        <v>49</v>
      </c>
      <c r="T59" s="13" t="s">
        <v>103</v>
      </c>
      <c r="U59" s="13" t="s">
        <v>49</v>
      </c>
      <c r="V59" s="13"/>
      <c r="W59" s="13" t="s">
        <v>49</v>
      </c>
      <c r="X59" s="13"/>
      <c r="Y59" s="39" t="s">
        <v>193</v>
      </c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8"/>
      <c r="AM59" s="1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</row>
    <row r="60" s="1" customFormat="1" ht="13.5" customHeight="1" outlineLevel="1" spans="1:72">
      <c r="A60" s="13"/>
      <c r="B60" s="13"/>
      <c r="C60" s="13"/>
      <c r="D60" s="13"/>
      <c r="E60" s="13"/>
      <c r="F60" s="13"/>
      <c r="G60" s="13" t="s">
        <v>194</v>
      </c>
      <c r="H60" s="13" t="s">
        <v>195</v>
      </c>
      <c r="I60" s="16" t="s">
        <v>47</v>
      </c>
      <c r="J60" s="13">
        <v>1</v>
      </c>
      <c r="K60" s="13">
        <v>14</v>
      </c>
      <c r="L60" s="13" t="s">
        <v>42</v>
      </c>
      <c r="M60" s="13">
        <v>2</v>
      </c>
      <c r="N60" s="13" t="s">
        <v>48</v>
      </c>
      <c r="O60" s="13">
        <v>1</v>
      </c>
      <c r="P60" s="13">
        <v>0</v>
      </c>
      <c r="Q60" s="13">
        <v>0</v>
      </c>
      <c r="R60" s="13">
        <v>3</v>
      </c>
      <c r="S60" s="13" t="s">
        <v>49</v>
      </c>
      <c r="T60" s="13" t="s">
        <v>50</v>
      </c>
      <c r="U60" s="13" t="s">
        <v>49</v>
      </c>
      <c r="V60" s="13"/>
      <c r="W60" s="13" t="s">
        <v>49</v>
      </c>
      <c r="X60" s="13"/>
      <c r="Y60" s="13" t="s">
        <v>196</v>
      </c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8"/>
      <c r="AM60" s="1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</row>
    <row r="61" s="1" customFormat="1" ht="13.5" customHeight="1" outlineLevel="1" spans="1:72">
      <c r="A61" s="13"/>
      <c r="B61" s="13"/>
      <c r="C61" s="13"/>
      <c r="D61" s="13"/>
      <c r="E61" s="13"/>
      <c r="F61" s="13"/>
      <c r="G61" s="13" t="s">
        <v>197</v>
      </c>
      <c r="H61" s="13" t="s">
        <v>198</v>
      </c>
      <c r="I61" s="16" t="s">
        <v>47</v>
      </c>
      <c r="J61" s="13">
        <v>2</v>
      </c>
      <c r="K61" s="13">
        <v>16</v>
      </c>
      <c r="L61" s="13" t="s">
        <v>42</v>
      </c>
      <c r="M61" s="13">
        <v>2</v>
      </c>
      <c r="N61" s="13" t="s">
        <v>48</v>
      </c>
      <c r="O61" s="13">
        <v>1</v>
      </c>
      <c r="P61" s="13">
        <v>0</v>
      </c>
      <c r="Q61" s="13">
        <v>0</v>
      </c>
      <c r="R61" s="13">
        <v>3</v>
      </c>
      <c r="S61" s="13" t="s">
        <v>49</v>
      </c>
      <c r="T61" s="13" t="s">
        <v>50</v>
      </c>
      <c r="U61" s="13" t="s">
        <v>49</v>
      </c>
      <c r="V61" s="13"/>
      <c r="W61" s="13" t="s">
        <v>49</v>
      </c>
      <c r="X61" s="13"/>
      <c r="Y61" s="39" t="s">
        <v>199</v>
      </c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8"/>
      <c r="AM61" s="1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</row>
    <row r="62" s="1" customFormat="1" ht="13.5" customHeight="1" outlineLevel="1" spans="1:72">
      <c r="A62" s="13"/>
      <c r="B62" s="13"/>
      <c r="C62" s="13"/>
      <c r="D62" s="13"/>
      <c r="E62" s="13"/>
      <c r="F62" s="13"/>
      <c r="G62" s="13" t="s">
        <v>200</v>
      </c>
      <c r="H62" s="13" t="s">
        <v>201</v>
      </c>
      <c r="I62" s="16" t="s">
        <v>47</v>
      </c>
      <c r="J62" s="13">
        <v>2</v>
      </c>
      <c r="K62" s="13">
        <v>18</v>
      </c>
      <c r="L62" s="13" t="s">
        <v>42</v>
      </c>
      <c r="M62" s="13">
        <v>2</v>
      </c>
      <c r="N62" s="13" t="s">
        <v>48</v>
      </c>
      <c r="O62" s="13">
        <v>1</v>
      </c>
      <c r="P62" s="13">
        <v>0</v>
      </c>
      <c r="Q62" s="13">
        <v>0</v>
      </c>
      <c r="R62" s="13">
        <v>3</v>
      </c>
      <c r="S62" s="13" t="s">
        <v>49</v>
      </c>
      <c r="T62" s="13" t="s">
        <v>50</v>
      </c>
      <c r="U62" s="13" t="s">
        <v>49</v>
      </c>
      <c r="V62" s="13"/>
      <c r="W62" s="13" t="s">
        <v>49</v>
      </c>
      <c r="X62" s="13"/>
      <c r="Y62" s="39" t="s">
        <v>202</v>
      </c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8"/>
      <c r="AM62" s="1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</row>
    <row r="63" s="1" customFormat="1" ht="13.5" customHeight="1" outlineLevel="1" spans="1:72">
      <c r="A63" s="13"/>
      <c r="B63" s="13"/>
      <c r="C63" s="13"/>
      <c r="D63" s="13"/>
      <c r="E63" s="13"/>
      <c r="F63" s="13"/>
      <c r="G63" s="13" t="s">
        <v>203</v>
      </c>
      <c r="H63" s="13" t="s">
        <v>204</v>
      </c>
      <c r="I63" s="16" t="s">
        <v>47</v>
      </c>
      <c r="J63" s="13">
        <v>2</v>
      </c>
      <c r="K63" s="13">
        <v>20</v>
      </c>
      <c r="L63" s="13" t="s">
        <v>42</v>
      </c>
      <c r="M63" s="13">
        <v>2</v>
      </c>
      <c r="N63" s="13" t="s">
        <v>48</v>
      </c>
      <c r="O63" s="13">
        <v>1</v>
      </c>
      <c r="P63" s="13">
        <v>0</v>
      </c>
      <c r="Q63" s="13">
        <v>0</v>
      </c>
      <c r="R63" s="13">
        <v>3</v>
      </c>
      <c r="S63" s="13" t="s">
        <v>49</v>
      </c>
      <c r="T63" s="13" t="s">
        <v>50</v>
      </c>
      <c r="U63" s="13" t="s">
        <v>49</v>
      </c>
      <c r="V63" s="13"/>
      <c r="W63" s="13" t="s">
        <v>49</v>
      </c>
      <c r="X63" s="13"/>
      <c r="Y63" s="39" t="s">
        <v>205</v>
      </c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8"/>
      <c r="AM63" s="1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</row>
    <row r="64" s="1" customFormat="1" ht="13.5" customHeight="1" outlineLevel="1" spans="1:72">
      <c r="A64" s="13"/>
      <c r="B64" s="13"/>
      <c r="C64" s="13"/>
      <c r="D64" s="13"/>
      <c r="E64" s="13"/>
      <c r="F64" s="13"/>
      <c r="G64" s="13" t="s">
        <v>206</v>
      </c>
      <c r="H64" s="13" t="s">
        <v>207</v>
      </c>
      <c r="I64" s="16" t="s">
        <v>47</v>
      </c>
      <c r="J64" s="13">
        <v>2</v>
      </c>
      <c r="K64" s="13">
        <v>22</v>
      </c>
      <c r="L64" s="13" t="s">
        <v>42</v>
      </c>
      <c r="M64" s="13">
        <v>2</v>
      </c>
      <c r="N64" s="13" t="s">
        <v>48</v>
      </c>
      <c r="O64" s="13">
        <v>1</v>
      </c>
      <c r="P64" s="13">
        <v>0</v>
      </c>
      <c r="Q64" s="13">
        <v>0</v>
      </c>
      <c r="R64" s="13">
        <v>3</v>
      </c>
      <c r="S64" s="13" t="s">
        <v>49</v>
      </c>
      <c r="T64" s="13" t="s">
        <v>50</v>
      </c>
      <c r="U64" s="13" t="s">
        <v>49</v>
      </c>
      <c r="V64" s="13"/>
      <c r="W64" s="13" t="s">
        <v>49</v>
      </c>
      <c r="X64" s="13"/>
      <c r="Y64" s="39" t="s">
        <v>208</v>
      </c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8"/>
      <c r="AM64" s="1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</row>
    <row r="65" s="1" customFormat="1" ht="13.5" customHeight="1" outlineLevel="1" spans="1:75">
      <c r="A65" s="13"/>
      <c r="B65" s="13"/>
      <c r="C65" s="13"/>
      <c r="D65" s="13"/>
      <c r="E65" s="13"/>
      <c r="F65" s="13"/>
      <c r="G65" s="13" t="s">
        <v>209</v>
      </c>
      <c r="H65" s="13" t="s">
        <v>210</v>
      </c>
      <c r="I65" s="16" t="s">
        <v>47</v>
      </c>
      <c r="J65" s="13">
        <v>3</v>
      </c>
      <c r="K65" s="13">
        <v>24</v>
      </c>
      <c r="L65" s="13" t="s">
        <v>42</v>
      </c>
      <c r="M65" s="13">
        <v>16</v>
      </c>
      <c r="N65" s="13" t="s">
        <v>48</v>
      </c>
      <c r="O65" s="13">
        <v>0.05</v>
      </c>
      <c r="P65" s="13">
        <v>-1600</v>
      </c>
      <c r="Q65" s="13">
        <v>-1600</v>
      </c>
      <c r="R65" s="13">
        <v>1600</v>
      </c>
      <c r="S65" s="13" t="s">
        <v>49</v>
      </c>
      <c r="T65" s="13" t="s">
        <v>211</v>
      </c>
      <c r="U65" s="13" t="s">
        <v>49</v>
      </c>
      <c r="V65" s="13"/>
      <c r="W65" s="13" t="s">
        <v>49</v>
      </c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8"/>
      <c r="AM65" s="1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</row>
    <row r="66" s="1" customFormat="1" ht="13.5" customHeight="1" outlineLevel="1" spans="1:75">
      <c r="A66" s="13"/>
      <c r="B66" s="13"/>
      <c r="C66" s="13"/>
      <c r="D66" s="13"/>
      <c r="E66" s="13"/>
      <c r="F66" s="13"/>
      <c r="G66" s="13" t="s">
        <v>212</v>
      </c>
      <c r="H66" s="13" t="s">
        <v>213</v>
      </c>
      <c r="I66" s="16" t="s">
        <v>47</v>
      </c>
      <c r="J66" s="13">
        <v>5</v>
      </c>
      <c r="K66" s="13">
        <v>40</v>
      </c>
      <c r="L66" s="13" t="s">
        <v>42</v>
      </c>
      <c r="M66" s="13">
        <v>8</v>
      </c>
      <c r="N66" s="13" t="s">
        <v>48</v>
      </c>
      <c r="O66" s="13">
        <v>1</v>
      </c>
      <c r="P66" s="13">
        <v>-125</v>
      </c>
      <c r="Q66" s="13">
        <v>-125</v>
      </c>
      <c r="R66" s="13">
        <v>100</v>
      </c>
      <c r="S66" s="13" t="s">
        <v>49</v>
      </c>
      <c r="T66" s="13" t="s">
        <v>68</v>
      </c>
      <c r="U66" s="13" t="s">
        <v>49</v>
      </c>
      <c r="V66" s="13"/>
      <c r="W66" s="13" t="s">
        <v>49</v>
      </c>
      <c r="X66" s="13" t="s">
        <v>214</v>
      </c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8"/>
      <c r="AM66" s="1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</row>
    <row r="67" s="1" customFormat="1" ht="13.5" customHeight="1" outlineLevel="1" spans="1:75">
      <c r="A67" s="13"/>
      <c r="B67" s="13"/>
      <c r="C67" s="13"/>
      <c r="D67" s="13"/>
      <c r="E67" s="13"/>
      <c r="F67" s="13"/>
      <c r="G67" s="13" t="s">
        <v>215</v>
      </c>
      <c r="H67" s="13" t="s">
        <v>216</v>
      </c>
      <c r="I67" s="16" t="s">
        <v>47</v>
      </c>
      <c r="J67" s="13">
        <v>6</v>
      </c>
      <c r="K67" s="13">
        <v>48</v>
      </c>
      <c r="L67" s="13" t="s">
        <v>42</v>
      </c>
      <c r="M67" s="13">
        <v>16</v>
      </c>
      <c r="N67" s="13" t="s">
        <v>48</v>
      </c>
      <c r="O67" s="13">
        <v>0.5</v>
      </c>
      <c r="P67" s="13">
        <v>0</v>
      </c>
      <c r="Q67" s="13">
        <v>0</v>
      </c>
      <c r="R67" s="13">
        <v>20000</v>
      </c>
      <c r="S67" s="13" t="s">
        <v>49</v>
      </c>
      <c r="T67" s="13" t="s">
        <v>211</v>
      </c>
      <c r="U67" s="13" t="s">
        <v>49</v>
      </c>
      <c r="V67" s="13"/>
      <c r="W67" s="13" t="s">
        <v>49</v>
      </c>
      <c r="X67" s="13" t="s">
        <v>217</v>
      </c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8"/>
      <c r="AM67" s="1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</row>
    <row r="68" s="1" customFormat="1" ht="13.5" customHeight="1" spans="1:75">
      <c r="A68" s="7" t="s">
        <v>218</v>
      </c>
      <c r="B68" s="8" t="s">
        <v>40</v>
      </c>
      <c r="C68" s="7" t="s">
        <v>219</v>
      </c>
      <c r="D68" s="7" t="s">
        <v>42</v>
      </c>
      <c r="E68" s="7">
        <v>10</v>
      </c>
      <c r="F68" s="7">
        <v>8</v>
      </c>
      <c r="G68" s="7"/>
      <c r="H68" s="40" t="s">
        <v>220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10" t="s">
        <v>44</v>
      </c>
      <c r="AA68" s="33"/>
      <c r="AB68" s="7"/>
      <c r="AC68" s="7"/>
      <c r="AD68" s="7"/>
      <c r="AE68" s="7"/>
      <c r="AF68" s="7"/>
      <c r="AG68" s="7"/>
      <c r="AH68" s="7"/>
      <c r="AI68" s="10" t="s">
        <v>43</v>
      </c>
      <c r="AJ68" s="10" t="s">
        <v>43</v>
      </c>
      <c r="AK68" s="10" t="s">
        <v>43</v>
      </c>
      <c r="AL68" s="41" t="s">
        <v>43</v>
      </c>
      <c r="AM68" s="12">
        <f>1000/E68</f>
        <v>100</v>
      </c>
      <c r="AN68" s="30"/>
      <c r="AO68" s="30"/>
    </row>
    <row r="69" s="1" customFormat="1" ht="13.5" customHeight="1" outlineLevel="1" spans="1:75">
      <c r="A69" s="13"/>
      <c r="B69" s="13"/>
      <c r="C69" s="13"/>
      <c r="D69" s="13"/>
      <c r="E69" s="13"/>
      <c r="F69" s="13"/>
      <c r="G69" s="13" t="s">
        <v>221</v>
      </c>
      <c r="H69" s="31"/>
      <c r="I69" s="16" t="s">
        <v>47</v>
      </c>
      <c r="J69" s="13">
        <v>0</v>
      </c>
      <c r="K69" s="13">
        <v>0</v>
      </c>
      <c r="L69" s="13" t="s">
        <v>42</v>
      </c>
      <c r="M69" s="13">
        <v>16</v>
      </c>
      <c r="N69" s="13" t="s">
        <v>48</v>
      </c>
      <c r="O69" s="13">
        <v>0.00097656</v>
      </c>
      <c r="P69" s="13">
        <v>-31.374</v>
      </c>
      <c r="Q69" s="13">
        <v>-31.374</v>
      </c>
      <c r="R69" s="13">
        <v>31.374</v>
      </c>
      <c r="S69" s="13" t="s">
        <v>49</v>
      </c>
      <c r="T69" s="13" t="s">
        <v>211</v>
      </c>
      <c r="U69" s="13"/>
      <c r="V69" s="13"/>
      <c r="W69" s="13"/>
      <c r="X69" s="13" t="s">
        <v>222</v>
      </c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</row>
    <row r="70" s="1" customFormat="1" ht="13.5" customHeight="1" outlineLevel="1" spans="1:75">
      <c r="A70" s="13"/>
      <c r="B70" s="13"/>
      <c r="C70" s="13"/>
      <c r="D70" s="13"/>
      <c r="E70" s="13"/>
      <c r="F70" s="13"/>
      <c r="G70" s="13" t="s">
        <v>223</v>
      </c>
      <c r="H70" s="31"/>
      <c r="I70" s="16" t="s">
        <v>47</v>
      </c>
      <c r="J70" s="13">
        <v>2</v>
      </c>
      <c r="K70" s="13">
        <v>16</v>
      </c>
      <c r="L70" s="13" t="s">
        <v>42</v>
      </c>
      <c r="M70" s="13">
        <v>6</v>
      </c>
      <c r="N70" s="13" t="s">
        <v>48</v>
      </c>
      <c r="O70" s="13">
        <v>1</v>
      </c>
      <c r="P70" s="13">
        <v>-32</v>
      </c>
      <c r="Q70" s="13">
        <v>-32</v>
      </c>
      <c r="R70" s="13">
        <v>29</v>
      </c>
      <c r="S70" s="13" t="s">
        <v>49</v>
      </c>
      <c r="T70" s="13" t="s">
        <v>224</v>
      </c>
      <c r="U70" s="13"/>
      <c r="V70" s="13"/>
      <c r="W70" s="13"/>
      <c r="X70" s="13" t="s">
        <v>225</v>
      </c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</row>
    <row r="71" s="1" customFormat="1" ht="13.5" customHeight="1" outlineLevel="1" spans="1:75">
      <c r="A71" s="13"/>
      <c r="B71" s="13"/>
      <c r="C71" s="13"/>
      <c r="D71" s="13"/>
      <c r="E71" s="13"/>
      <c r="F71" s="13"/>
      <c r="G71" s="13" t="s">
        <v>226</v>
      </c>
      <c r="H71" s="31"/>
      <c r="I71" s="16" t="s">
        <v>47</v>
      </c>
      <c r="J71" s="13">
        <v>2</v>
      </c>
      <c r="K71" s="13">
        <v>22</v>
      </c>
      <c r="L71" s="13" t="s">
        <v>42</v>
      </c>
      <c r="M71" s="13">
        <v>2</v>
      </c>
      <c r="N71" s="13" t="s">
        <v>48</v>
      </c>
      <c r="O71" s="13">
        <v>1</v>
      </c>
      <c r="P71" s="13">
        <v>0</v>
      </c>
      <c r="Q71" s="13">
        <v>0</v>
      </c>
      <c r="R71" s="13">
        <v>3</v>
      </c>
      <c r="S71" s="13" t="s">
        <v>49</v>
      </c>
      <c r="T71" s="13" t="s">
        <v>50</v>
      </c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</row>
    <row r="72" s="1" customFormat="1" ht="13.5" customHeight="1" outlineLevel="1" spans="1:75">
      <c r="A72" s="13"/>
      <c r="B72" s="13"/>
      <c r="C72" s="13"/>
      <c r="D72" s="13"/>
      <c r="E72" s="13"/>
      <c r="F72" s="13"/>
      <c r="G72" s="13" t="s">
        <v>227</v>
      </c>
      <c r="H72" s="31"/>
      <c r="I72" s="16" t="s">
        <v>47</v>
      </c>
      <c r="J72" s="13">
        <v>3</v>
      </c>
      <c r="K72" s="13">
        <v>24</v>
      </c>
      <c r="L72" s="13" t="s">
        <v>42</v>
      </c>
      <c r="M72" s="13">
        <v>16</v>
      </c>
      <c r="N72" s="13" t="s">
        <v>48</v>
      </c>
      <c r="O72" s="13">
        <v>0.0001220703125</v>
      </c>
      <c r="P72" s="13">
        <v>-3.92</v>
      </c>
      <c r="Q72" s="13">
        <v>-3.92</v>
      </c>
      <c r="R72" s="13">
        <v>3.92</v>
      </c>
      <c r="S72" s="13" t="s">
        <v>49</v>
      </c>
      <c r="T72" s="13" t="s">
        <v>211</v>
      </c>
      <c r="U72" s="13"/>
      <c r="V72" s="13"/>
      <c r="W72" s="13"/>
      <c r="X72" s="13" t="s">
        <v>228</v>
      </c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</row>
    <row r="73" s="1" customFormat="1" ht="13.5" customHeight="1" outlineLevel="1" spans="1:75">
      <c r="A73" s="13"/>
      <c r="B73" s="13"/>
      <c r="C73" s="13"/>
      <c r="D73" s="13"/>
      <c r="E73" s="13"/>
      <c r="F73" s="13"/>
      <c r="G73" s="13" t="s">
        <v>229</v>
      </c>
      <c r="H73" s="31"/>
      <c r="I73" s="16" t="s">
        <v>47</v>
      </c>
      <c r="J73" s="13">
        <v>5</v>
      </c>
      <c r="K73" s="13">
        <v>40</v>
      </c>
      <c r="L73" s="13" t="s">
        <v>42</v>
      </c>
      <c r="M73" s="13">
        <v>16</v>
      </c>
      <c r="N73" s="13" t="s">
        <v>48</v>
      </c>
      <c r="O73" s="13">
        <v>0.00048828125</v>
      </c>
      <c r="P73" s="13">
        <v>-15.687</v>
      </c>
      <c r="Q73" s="13">
        <v>-15.687</v>
      </c>
      <c r="R73" s="13">
        <v>15.687</v>
      </c>
      <c r="S73" s="13" t="s">
        <v>49</v>
      </c>
      <c r="T73" s="13" t="s">
        <v>211</v>
      </c>
      <c r="U73" s="13"/>
      <c r="V73" s="13"/>
      <c r="W73" s="13"/>
      <c r="X73" s="13" t="s">
        <v>230</v>
      </c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</row>
    <row r="74" s="1" customFormat="1" ht="13.5" customHeight="1" outlineLevel="1" spans="1:75">
      <c r="A74" s="13"/>
      <c r="B74" s="13"/>
      <c r="C74" s="13"/>
      <c r="D74" s="13"/>
      <c r="E74" s="13"/>
      <c r="F74" s="13"/>
      <c r="G74" s="13" t="s">
        <v>231</v>
      </c>
      <c r="H74" s="31"/>
      <c r="I74" s="16" t="s">
        <v>47</v>
      </c>
      <c r="J74" s="13">
        <v>7</v>
      </c>
      <c r="K74" s="13">
        <v>56</v>
      </c>
      <c r="L74" s="13" t="s">
        <v>42</v>
      </c>
      <c r="M74" s="13">
        <v>8</v>
      </c>
      <c r="N74" s="13" t="s">
        <v>48</v>
      </c>
      <c r="O74" s="13">
        <v>0.1</v>
      </c>
      <c r="P74" s="13">
        <v>-12.5</v>
      </c>
      <c r="Q74" s="13">
        <v>-12.5</v>
      </c>
      <c r="R74" s="13">
        <v>12.5</v>
      </c>
      <c r="S74" s="13" t="s">
        <v>49</v>
      </c>
      <c r="T74" s="13" t="s">
        <v>68</v>
      </c>
      <c r="U74" s="13"/>
      <c r="V74" s="13"/>
      <c r="W74" s="13"/>
      <c r="X74" s="13" t="s">
        <v>230</v>
      </c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</row>
    <row r="75" s="1" customFormat="1" ht="13.5" customHeight="1" spans="1:75">
      <c r="A75" s="7" t="s">
        <v>232</v>
      </c>
      <c r="B75" s="8" t="s">
        <v>40</v>
      </c>
      <c r="C75" s="7" t="s">
        <v>233</v>
      </c>
      <c r="D75" s="7" t="s">
        <v>42</v>
      </c>
      <c r="E75" s="7">
        <v>500</v>
      </c>
      <c r="F75" s="7">
        <v>8</v>
      </c>
      <c r="G75" s="7"/>
      <c r="H75" s="7" t="s">
        <v>27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 t="s">
        <v>43</v>
      </c>
      <c r="AA75" s="7"/>
      <c r="AB75" s="7" t="s">
        <v>44</v>
      </c>
      <c r="AC75" s="7"/>
      <c r="AD75" s="7"/>
      <c r="AE75" s="7"/>
      <c r="AF75" s="7"/>
      <c r="AG75" s="7"/>
      <c r="AH75" s="7"/>
      <c r="AI75" s="7"/>
      <c r="AJ75" s="9" t="s">
        <v>43</v>
      </c>
      <c r="AK75" s="9" t="s">
        <v>43</v>
      </c>
      <c r="AL75" s="7"/>
      <c r="AM75" s="12">
        <f>1000/E75</f>
        <v>2</v>
      </c>
    </row>
    <row r="76" s="1" customFormat="1" ht="13.5" customHeight="1" outlineLevel="1" spans="1:75">
      <c r="A76" s="13"/>
      <c r="B76" s="13"/>
      <c r="C76" s="13"/>
      <c r="D76" s="13"/>
      <c r="E76" s="13"/>
      <c r="F76" s="13"/>
      <c r="G76" s="14" t="s">
        <v>234</v>
      </c>
      <c r="H76" s="15" t="s">
        <v>235</v>
      </c>
      <c r="I76" s="16" t="s">
        <v>47</v>
      </c>
      <c r="J76" s="17">
        <v>0</v>
      </c>
      <c r="K76" s="17">
        <v>0</v>
      </c>
      <c r="L76" s="13" t="s">
        <v>42</v>
      </c>
      <c r="M76" s="13">
        <v>2</v>
      </c>
      <c r="N76" s="13" t="s">
        <v>48</v>
      </c>
      <c r="O76" s="17">
        <v>1</v>
      </c>
      <c r="P76" s="17">
        <v>0</v>
      </c>
      <c r="Q76" s="17">
        <v>0</v>
      </c>
      <c r="R76" s="17">
        <v>3</v>
      </c>
      <c r="S76" s="17" t="s">
        <v>49</v>
      </c>
      <c r="T76" s="17" t="s">
        <v>50</v>
      </c>
      <c r="U76" s="13"/>
      <c r="V76" s="13"/>
      <c r="W76" s="13"/>
      <c r="X76" s="13"/>
      <c r="Y76" s="15" t="s">
        <v>236</v>
      </c>
      <c r="Z76" s="13"/>
      <c r="AA76" s="13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</row>
    <row r="77" s="1" customFormat="1" ht="13.5" customHeight="1" outlineLevel="1" spans="1:75">
      <c r="A77" s="13"/>
      <c r="B77" s="13"/>
      <c r="C77" s="13"/>
      <c r="D77" s="13"/>
      <c r="E77" s="13"/>
      <c r="F77" s="13"/>
      <c r="G77" s="14" t="s">
        <v>237</v>
      </c>
      <c r="H77" s="15" t="s">
        <v>238</v>
      </c>
      <c r="I77" s="16" t="s">
        <v>47</v>
      </c>
      <c r="J77" s="17">
        <v>0</v>
      </c>
      <c r="K77" s="17">
        <v>2</v>
      </c>
      <c r="L77" s="13" t="s">
        <v>42</v>
      </c>
      <c r="M77" s="13">
        <v>2</v>
      </c>
      <c r="N77" s="13" t="s">
        <v>48</v>
      </c>
      <c r="O77" s="17">
        <v>1</v>
      </c>
      <c r="P77" s="17">
        <v>0</v>
      </c>
      <c r="Q77" s="17">
        <v>0</v>
      </c>
      <c r="R77" s="17">
        <v>3</v>
      </c>
      <c r="S77" s="17" t="s">
        <v>49</v>
      </c>
      <c r="T77" s="17" t="s">
        <v>50</v>
      </c>
      <c r="U77" s="13"/>
      <c r="V77" s="13"/>
      <c r="W77" s="13"/>
      <c r="X77" s="13"/>
      <c r="Y77" s="15" t="s">
        <v>236</v>
      </c>
      <c r="Z77" s="13"/>
      <c r="AA77" s="13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</row>
    <row r="78" s="1" customFormat="1" ht="13.5" customHeight="1" outlineLevel="1" spans="1:75">
      <c r="A78" s="13"/>
      <c r="B78" s="13"/>
      <c r="C78" s="13"/>
      <c r="D78" s="13"/>
      <c r="E78" s="13"/>
      <c r="F78" s="13"/>
      <c r="G78" s="14" t="s">
        <v>239</v>
      </c>
      <c r="H78" s="15" t="s">
        <v>240</v>
      </c>
      <c r="I78" s="16" t="s">
        <v>47</v>
      </c>
      <c r="J78" s="17">
        <v>0</v>
      </c>
      <c r="K78" s="17">
        <v>4</v>
      </c>
      <c r="L78" s="13" t="s">
        <v>42</v>
      </c>
      <c r="M78" s="13">
        <v>2</v>
      </c>
      <c r="N78" s="13" t="s">
        <v>48</v>
      </c>
      <c r="O78" s="17">
        <v>1</v>
      </c>
      <c r="P78" s="17">
        <v>0</v>
      </c>
      <c r="Q78" s="17">
        <v>0</v>
      </c>
      <c r="R78" s="17">
        <v>3</v>
      </c>
      <c r="S78" s="17" t="s">
        <v>49</v>
      </c>
      <c r="T78" s="17" t="s">
        <v>50</v>
      </c>
      <c r="U78" s="13"/>
      <c r="V78" s="13"/>
      <c r="W78" s="13"/>
      <c r="X78" s="13"/>
      <c r="Y78" s="15" t="s">
        <v>236</v>
      </c>
      <c r="Z78" s="13"/>
      <c r="AA78" s="13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</row>
    <row r="79" s="1" customFormat="1" ht="13.5" customHeight="1" outlineLevel="1" spans="1:75">
      <c r="A79" s="13"/>
      <c r="B79" s="13"/>
      <c r="C79" s="13"/>
      <c r="D79" s="13"/>
      <c r="E79" s="13"/>
      <c r="F79" s="13"/>
      <c r="G79" s="14" t="s">
        <v>241</v>
      </c>
      <c r="H79" s="15" t="s">
        <v>242</v>
      </c>
      <c r="I79" s="16" t="s">
        <v>47</v>
      </c>
      <c r="J79" s="17">
        <v>0</v>
      </c>
      <c r="K79" s="17">
        <v>6</v>
      </c>
      <c r="L79" s="13" t="s">
        <v>42</v>
      </c>
      <c r="M79" s="13">
        <v>2</v>
      </c>
      <c r="N79" s="13" t="s">
        <v>48</v>
      </c>
      <c r="O79" s="17">
        <v>1</v>
      </c>
      <c r="P79" s="17">
        <v>0</v>
      </c>
      <c r="Q79" s="17">
        <v>0</v>
      </c>
      <c r="R79" s="17">
        <v>3</v>
      </c>
      <c r="S79" s="17" t="s">
        <v>49</v>
      </c>
      <c r="T79" s="17" t="s">
        <v>50</v>
      </c>
      <c r="U79" s="13"/>
      <c r="V79" s="13"/>
      <c r="W79" s="13"/>
      <c r="X79" s="13"/>
      <c r="Y79" s="15" t="s">
        <v>236</v>
      </c>
      <c r="Z79" s="13"/>
      <c r="AA79" s="13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</row>
    <row r="80" s="1" customFormat="1" ht="13.5" customHeight="1" outlineLevel="1" spans="1:75">
      <c r="A80" s="13"/>
      <c r="B80" s="13"/>
      <c r="C80" s="13"/>
      <c r="D80" s="13"/>
      <c r="E80" s="13"/>
      <c r="F80" s="13"/>
      <c r="G80" s="14" t="s">
        <v>243</v>
      </c>
      <c r="H80" s="15" t="s">
        <v>244</v>
      </c>
      <c r="I80" s="16" t="s">
        <v>47</v>
      </c>
      <c r="J80" s="17">
        <v>1</v>
      </c>
      <c r="K80" s="17">
        <v>8</v>
      </c>
      <c r="L80" s="13" t="s">
        <v>42</v>
      </c>
      <c r="M80" s="13">
        <v>4</v>
      </c>
      <c r="N80" s="13" t="s">
        <v>48</v>
      </c>
      <c r="O80" s="17">
        <v>1</v>
      </c>
      <c r="P80" s="17">
        <v>0</v>
      </c>
      <c r="Q80" s="17">
        <v>0</v>
      </c>
      <c r="R80" s="17">
        <v>15</v>
      </c>
      <c r="S80" s="17" t="s">
        <v>49</v>
      </c>
      <c r="T80" s="17" t="s">
        <v>61</v>
      </c>
      <c r="U80" s="13"/>
      <c r="V80" s="13"/>
      <c r="W80" s="13"/>
      <c r="X80" s="13"/>
      <c r="Y80" s="15" t="s">
        <v>245</v>
      </c>
      <c r="Z80" s="13"/>
      <c r="AA80" s="13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</row>
    <row r="81" s="1" customFormat="1" ht="13.5" customHeight="1" outlineLevel="1" spans="1:39">
      <c r="A81" s="13"/>
      <c r="B81" s="13"/>
      <c r="C81" s="13"/>
      <c r="D81" s="13"/>
      <c r="E81" s="13"/>
      <c r="F81" s="13"/>
      <c r="G81" s="14" t="s">
        <v>246</v>
      </c>
      <c r="H81" s="15" t="s">
        <v>247</v>
      </c>
      <c r="I81" s="16" t="s">
        <v>47</v>
      </c>
      <c r="J81" s="17">
        <v>1</v>
      </c>
      <c r="K81" s="17">
        <v>12</v>
      </c>
      <c r="L81" s="13" t="s">
        <v>42</v>
      </c>
      <c r="M81" s="13">
        <v>4</v>
      </c>
      <c r="N81" s="13" t="s">
        <v>48</v>
      </c>
      <c r="O81" s="17">
        <v>1</v>
      </c>
      <c r="P81" s="17">
        <v>0</v>
      </c>
      <c r="Q81" s="17">
        <v>0</v>
      </c>
      <c r="R81" s="17">
        <v>15</v>
      </c>
      <c r="S81" s="17" t="s">
        <v>49</v>
      </c>
      <c r="T81" s="17" t="s">
        <v>61</v>
      </c>
      <c r="U81" s="13"/>
      <c r="V81" s="13"/>
      <c r="W81" s="13"/>
      <c r="X81" s="13"/>
      <c r="Y81" s="15" t="s">
        <v>248</v>
      </c>
      <c r="Z81" s="13"/>
      <c r="AA81" s="13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</row>
    <row r="82" s="1" customFormat="1" ht="13.5" customHeight="1" outlineLevel="1" spans="1:39">
      <c r="A82" s="13"/>
      <c r="B82" s="13"/>
      <c r="C82" s="13"/>
      <c r="D82" s="13"/>
      <c r="E82" s="13"/>
      <c r="F82" s="13"/>
      <c r="G82" s="14" t="s">
        <v>249</v>
      </c>
      <c r="H82" s="15" t="s">
        <v>250</v>
      </c>
      <c r="I82" s="16" t="s">
        <v>47</v>
      </c>
      <c r="J82" s="17">
        <v>2</v>
      </c>
      <c r="K82" s="17">
        <v>16</v>
      </c>
      <c r="L82" s="13" t="s">
        <v>42</v>
      </c>
      <c r="M82" s="13">
        <v>2</v>
      </c>
      <c r="N82" s="13" t="s">
        <v>48</v>
      </c>
      <c r="O82" s="17">
        <v>1</v>
      </c>
      <c r="P82" s="17">
        <v>0</v>
      </c>
      <c r="Q82" s="17">
        <v>0</v>
      </c>
      <c r="R82" s="17">
        <v>3</v>
      </c>
      <c r="S82" s="17" t="s">
        <v>49</v>
      </c>
      <c r="T82" s="17" t="s">
        <v>50</v>
      </c>
      <c r="U82" s="13"/>
      <c r="V82" s="13"/>
      <c r="W82" s="13"/>
      <c r="X82" s="13"/>
      <c r="Y82" s="15" t="s">
        <v>251</v>
      </c>
      <c r="Z82" s="13"/>
      <c r="AA82" s="13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</row>
    <row r="83" s="1" customFormat="1" ht="13.5" customHeight="1" outlineLevel="1" spans="1:39">
      <c r="A83" s="13"/>
      <c r="B83" s="13"/>
      <c r="C83" s="13"/>
      <c r="D83" s="13"/>
      <c r="E83" s="13"/>
      <c r="F83" s="13"/>
      <c r="G83" s="14" t="s">
        <v>252</v>
      </c>
      <c r="H83" s="15" t="s">
        <v>253</v>
      </c>
      <c r="I83" s="16" t="s">
        <v>47</v>
      </c>
      <c r="J83" s="17">
        <v>2</v>
      </c>
      <c r="K83" s="17">
        <v>18</v>
      </c>
      <c r="L83" s="13" t="s">
        <v>42</v>
      </c>
      <c r="M83" s="13">
        <v>2</v>
      </c>
      <c r="N83" s="13" t="s">
        <v>48</v>
      </c>
      <c r="O83" s="17">
        <v>1</v>
      </c>
      <c r="P83" s="17">
        <v>0</v>
      </c>
      <c r="Q83" s="17">
        <v>0</v>
      </c>
      <c r="R83" s="17">
        <v>3</v>
      </c>
      <c r="S83" s="17" t="s">
        <v>49</v>
      </c>
      <c r="T83" s="17" t="s">
        <v>50</v>
      </c>
      <c r="U83" s="13"/>
      <c r="V83" s="13"/>
      <c r="W83" s="13"/>
      <c r="X83" s="13"/>
      <c r="Y83" s="15" t="s">
        <v>251</v>
      </c>
      <c r="Z83" s="13"/>
      <c r="AA83" s="13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</row>
    <row r="84" s="1" customFormat="1" ht="13.5" customHeight="1" outlineLevel="1" spans="1:39">
      <c r="A84" s="13"/>
      <c r="B84" s="13"/>
      <c r="C84" s="13"/>
      <c r="D84" s="13"/>
      <c r="E84" s="13"/>
      <c r="F84" s="13"/>
      <c r="G84" s="14" t="s">
        <v>254</v>
      </c>
      <c r="H84" s="15" t="s">
        <v>255</v>
      </c>
      <c r="I84" s="16" t="s">
        <v>47</v>
      </c>
      <c r="J84" s="17">
        <v>2</v>
      </c>
      <c r="K84" s="17">
        <v>20</v>
      </c>
      <c r="L84" s="13" t="s">
        <v>42</v>
      </c>
      <c r="M84" s="13">
        <v>2</v>
      </c>
      <c r="N84" s="13" t="s">
        <v>48</v>
      </c>
      <c r="O84" s="17">
        <v>1</v>
      </c>
      <c r="P84" s="17">
        <v>0</v>
      </c>
      <c r="Q84" s="17">
        <v>0</v>
      </c>
      <c r="R84" s="17">
        <v>3</v>
      </c>
      <c r="S84" s="17" t="s">
        <v>49</v>
      </c>
      <c r="T84" s="17" t="s">
        <v>50</v>
      </c>
      <c r="U84" s="13"/>
      <c r="V84" s="13"/>
      <c r="W84" s="13"/>
      <c r="X84" s="13"/>
      <c r="Y84" s="15" t="s">
        <v>251</v>
      </c>
      <c r="Z84" s="13"/>
      <c r="AA84" s="13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</row>
    <row r="85" s="1" customFormat="1" ht="13.5" customHeight="1" outlineLevel="1" spans="1:39">
      <c r="A85" s="13"/>
      <c r="B85" s="13"/>
      <c r="C85" s="13"/>
      <c r="D85" s="13"/>
      <c r="E85" s="13"/>
      <c r="F85" s="13"/>
      <c r="G85" s="14" t="s">
        <v>256</v>
      </c>
      <c r="H85" s="15" t="s">
        <v>257</v>
      </c>
      <c r="I85" s="16" t="s">
        <v>47</v>
      </c>
      <c r="J85" s="17">
        <v>2</v>
      </c>
      <c r="K85" s="17">
        <v>22</v>
      </c>
      <c r="L85" s="13" t="s">
        <v>42</v>
      </c>
      <c r="M85" s="13">
        <v>2</v>
      </c>
      <c r="N85" s="13" t="s">
        <v>48</v>
      </c>
      <c r="O85" s="17">
        <v>1</v>
      </c>
      <c r="P85" s="17">
        <v>0</v>
      </c>
      <c r="Q85" s="17">
        <v>0</v>
      </c>
      <c r="R85" s="17">
        <v>3</v>
      </c>
      <c r="S85" s="17" t="s">
        <v>49</v>
      </c>
      <c r="T85" s="17" t="s">
        <v>50</v>
      </c>
      <c r="U85" s="13"/>
      <c r="V85" s="13"/>
      <c r="W85" s="13"/>
      <c r="X85" s="13"/>
      <c r="Y85" s="15" t="s">
        <v>251</v>
      </c>
      <c r="Z85" s="13"/>
      <c r="AA85" s="13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</row>
    <row r="86" s="1" customFormat="1" ht="13.5" customHeight="1" outlineLevel="1" spans="1:39">
      <c r="A86" s="13"/>
      <c r="B86" s="13"/>
      <c r="C86" s="13"/>
      <c r="D86" s="13"/>
      <c r="E86" s="13"/>
      <c r="F86" s="13"/>
      <c r="G86" s="14" t="s">
        <v>258</v>
      </c>
      <c r="H86" s="15" t="s">
        <v>259</v>
      </c>
      <c r="I86" s="16" t="s">
        <v>47</v>
      </c>
      <c r="J86" s="17">
        <v>3</v>
      </c>
      <c r="K86" s="17">
        <v>24</v>
      </c>
      <c r="L86" s="13" t="s">
        <v>42</v>
      </c>
      <c r="M86" s="13">
        <v>2</v>
      </c>
      <c r="N86" s="13" t="s">
        <v>48</v>
      </c>
      <c r="O86" s="17">
        <v>1</v>
      </c>
      <c r="P86" s="17">
        <v>0</v>
      </c>
      <c r="Q86" s="17">
        <v>0</v>
      </c>
      <c r="R86" s="17">
        <v>3</v>
      </c>
      <c r="S86" s="17" t="s">
        <v>49</v>
      </c>
      <c r="T86" s="17" t="s">
        <v>50</v>
      </c>
      <c r="U86" s="13"/>
      <c r="V86" s="13"/>
      <c r="W86" s="13"/>
      <c r="X86" s="13"/>
      <c r="Y86" s="15" t="s">
        <v>260</v>
      </c>
      <c r="Z86" s="13"/>
      <c r="AA86" s="13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</row>
    <row r="87" s="1" customFormat="1" ht="13.5" customHeight="1" outlineLevel="1" spans="1:39">
      <c r="A87" s="13"/>
      <c r="B87" s="13"/>
      <c r="C87" s="13"/>
      <c r="D87" s="13"/>
      <c r="E87" s="13"/>
      <c r="F87" s="13"/>
      <c r="G87" s="14" t="s">
        <v>261</v>
      </c>
      <c r="H87" s="15" t="s">
        <v>262</v>
      </c>
      <c r="I87" s="16" t="s">
        <v>47</v>
      </c>
      <c r="J87" s="17">
        <v>3</v>
      </c>
      <c r="K87" s="17">
        <v>28</v>
      </c>
      <c r="L87" s="13" t="s">
        <v>42</v>
      </c>
      <c r="M87" s="13">
        <v>3</v>
      </c>
      <c r="N87" s="13" t="s">
        <v>48</v>
      </c>
      <c r="O87" s="17">
        <v>1</v>
      </c>
      <c r="P87" s="17">
        <v>0</v>
      </c>
      <c r="Q87" s="17">
        <v>0</v>
      </c>
      <c r="R87" s="17">
        <v>7</v>
      </c>
      <c r="S87" s="17" t="s">
        <v>49</v>
      </c>
      <c r="T87" s="17" t="s">
        <v>103</v>
      </c>
      <c r="U87" s="13"/>
      <c r="V87" s="13"/>
      <c r="W87" s="13"/>
      <c r="X87" s="13"/>
      <c r="Y87" s="15" t="s">
        <v>263</v>
      </c>
      <c r="Z87" s="13"/>
      <c r="AA87" s="13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</row>
    <row r="88" s="1" customFormat="1" ht="52.8" outlineLevel="1" spans="1:39">
      <c r="A88" s="13"/>
      <c r="B88" s="13"/>
      <c r="C88" s="13"/>
      <c r="D88" s="13"/>
      <c r="E88" s="13"/>
      <c r="F88" s="13"/>
      <c r="G88" s="14" t="s">
        <v>264</v>
      </c>
      <c r="H88" s="15" t="s">
        <v>265</v>
      </c>
      <c r="I88" s="16" t="s">
        <v>47</v>
      </c>
      <c r="J88" s="17">
        <v>4</v>
      </c>
      <c r="K88" s="17">
        <v>32</v>
      </c>
      <c r="L88" s="13" t="s">
        <v>42</v>
      </c>
      <c r="M88" s="13">
        <v>2</v>
      </c>
      <c r="N88" s="13" t="s">
        <v>48</v>
      </c>
      <c r="O88" s="17">
        <v>1</v>
      </c>
      <c r="P88" s="17">
        <v>0</v>
      </c>
      <c r="Q88" s="17">
        <v>0</v>
      </c>
      <c r="R88" s="17">
        <v>3</v>
      </c>
      <c r="S88" s="17" t="s">
        <v>49</v>
      </c>
      <c r="T88" s="17" t="s">
        <v>50</v>
      </c>
      <c r="U88" s="13"/>
      <c r="V88" s="13"/>
      <c r="W88" s="13"/>
      <c r="X88" s="13"/>
      <c r="Y88" s="15" t="s">
        <v>266</v>
      </c>
      <c r="Z88" s="13"/>
      <c r="AA88" s="13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</row>
    <row r="89" s="1" customFormat="1" ht="211.2" outlineLevel="1" spans="1:39">
      <c r="A89" s="13"/>
      <c r="B89" s="13"/>
      <c r="C89" s="13"/>
      <c r="D89" s="13"/>
      <c r="E89" s="13"/>
      <c r="F89" s="13"/>
      <c r="G89" s="14" t="s">
        <v>267</v>
      </c>
      <c r="H89" s="15" t="s">
        <v>268</v>
      </c>
      <c r="I89" s="16" t="s">
        <v>47</v>
      </c>
      <c r="J89" s="17">
        <v>4</v>
      </c>
      <c r="K89" s="17">
        <v>34</v>
      </c>
      <c r="L89" s="13" t="s">
        <v>42</v>
      </c>
      <c r="M89" s="13">
        <v>4</v>
      </c>
      <c r="N89" s="13" t="s">
        <v>48</v>
      </c>
      <c r="O89" s="17">
        <v>1</v>
      </c>
      <c r="P89" s="17">
        <v>0</v>
      </c>
      <c r="Q89" s="17">
        <v>0</v>
      </c>
      <c r="R89" s="17">
        <v>15</v>
      </c>
      <c r="S89" s="17" t="s">
        <v>49</v>
      </c>
      <c r="T89" s="17" t="s">
        <v>61</v>
      </c>
      <c r="U89" s="13"/>
      <c r="V89" s="13"/>
      <c r="W89" s="13"/>
      <c r="X89" s="13"/>
      <c r="Y89" s="15" t="s">
        <v>269</v>
      </c>
      <c r="Z89" s="13"/>
      <c r="AA89" s="13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</row>
    <row r="90" s="1" customFormat="1" ht="211.2" outlineLevel="1" spans="1:39">
      <c r="A90" s="13"/>
      <c r="B90" s="13"/>
      <c r="C90" s="13"/>
      <c r="D90" s="13"/>
      <c r="E90" s="13"/>
      <c r="F90" s="13"/>
      <c r="G90" s="14" t="s">
        <v>270</v>
      </c>
      <c r="H90" s="15" t="s">
        <v>271</v>
      </c>
      <c r="I90" s="16" t="s">
        <v>47</v>
      </c>
      <c r="J90" s="17">
        <v>5</v>
      </c>
      <c r="K90" s="17">
        <v>40</v>
      </c>
      <c r="L90" s="13" t="s">
        <v>42</v>
      </c>
      <c r="M90" s="13">
        <v>4</v>
      </c>
      <c r="N90" s="13" t="s">
        <v>48</v>
      </c>
      <c r="O90" s="17">
        <v>1</v>
      </c>
      <c r="P90" s="17">
        <v>0</v>
      </c>
      <c r="Q90" s="17">
        <v>0</v>
      </c>
      <c r="R90" s="17">
        <v>15</v>
      </c>
      <c r="S90" s="17" t="s">
        <v>49</v>
      </c>
      <c r="T90" s="17" t="s">
        <v>61</v>
      </c>
      <c r="U90" s="13"/>
      <c r="V90" s="13"/>
      <c r="W90" s="13"/>
      <c r="X90" s="13"/>
      <c r="Y90" s="15" t="s">
        <v>272</v>
      </c>
      <c r="Z90" s="13"/>
      <c r="AA90" s="13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</row>
    <row r="91" s="1" customFormat="1" ht="105.6" outlineLevel="1" spans="1:39">
      <c r="A91" s="13"/>
      <c r="B91" s="13"/>
      <c r="C91" s="13"/>
      <c r="D91" s="13"/>
      <c r="E91" s="13"/>
      <c r="F91" s="13"/>
      <c r="G91" s="14" t="s">
        <v>273</v>
      </c>
      <c r="H91" s="15" t="s">
        <v>274</v>
      </c>
      <c r="I91" s="16" t="s">
        <v>47</v>
      </c>
      <c r="J91" s="17">
        <v>5</v>
      </c>
      <c r="K91" s="17">
        <v>44</v>
      </c>
      <c r="L91" s="13" t="s">
        <v>42</v>
      </c>
      <c r="M91" s="13">
        <v>3</v>
      </c>
      <c r="N91" s="13" t="s">
        <v>48</v>
      </c>
      <c r="O91" s="17">
        <v>1</v>
      </c>
      <c r="P91" s="17">
        <v>0</v>
      </c>
      <c r="Q91" s="17">
        <v>0</v>
      </c>
      <c r="R91" s="17">
        <v>7</v>
      </c>
      <c r="S91" s="17" t="s">
        <v>49</v>
      </c>
      <c r="T91" s="17" t="s">
        <v>103</v>
      </c>
      <c r="U91" s="13"/>
      <c r="V91" s="13"/>
      <c r="W91" s="13"/>
      <c r="X91" s="13"/>
      <c r="Y91" s="15" t="s">
        <v>275</v>
      </c>
      <c r="Z91" s="13"/>
      <c r="AA91" s="13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</row>
    <row r="92" s="1" customFormat="1" ht="105.6" outlineLevel="1" spans="1:39">
      <c r="A92" s="13"/>
      <c r="B92" s="13"/>
      <c r="C92" s="13"/>
      <c r="D92" s="13"/>
      <c r="E92" s="13"/>
      <c r="F92" s="13"/>
      <c r="G92" s="14" t="s">
        <v>276</v>
      </c>
      <c r="H92" s="15" t="s">
        <v>277</v>
      </c>
      <c r="I92" s="16" t="s">
        <v>47</v>
      </c>
      <c r="J92" s="17">
        <v>6</v>
      </c>
      <c r="K92" s="17">
        <v>48</v>
      </c>
      <c r="L92" s="13" t="s">
        <v>42</v>
      </c>
      <c r="M92" s="13">
        <v>3</v>
      </c>
      <c r="N92" s="13" t="s">
        <v>48</v>
      </c>
      <c r="O92" s="17">
        <v>1</v>
      </c>
      <c r="P92" s="17">
        <v>0</v>
      </c>
      <c r="Q92" s="17">
        <v>0</v>
      </c>
      <c r="R92" s="17">
        <v>7</v>
      </c>
      <c r="S92" s="17" t="s">
        <v>49</v>
      </c>
      <c r="T92" s="17" t="s">
        <v>103</v>
      </c>
      <c r="U92" s="13"/>
      <c r="V92" s="13"/>
      <c r="W92" s="13"/>
      <c r="X92" s="13"/>
      <c r="Y92" s="15" t="s">
        <v>275</v>
      </c>
      <c r="Z92" s="13"/>
      <c r="AA92" s="13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</row>
    <row r="93" s="1" customFormat="1" ht="26.4" outlineLevel="1" spans="1:39">
      <c r="A93" s="13"/>
      <c r="B93" s="13"/>
      <c r="C93" s="13"/>
      <c r="D93" s="13"/>
      <c r="E93" s="13"/>
      <c r="F93" s="13"/>
      <c r="G93" s="43" t="s">
        <v>278</v>
      </c>
      <c r="H93" s="44" t="s">
        <v>279</v>
      </c>
      <c r="I93" s="45" t="s">
        <v>47</v>
      </c>
      <c r="J93" s="46">
        <v>6</v>
      </c>
      <c r="K93" s="46">
        <v>51</v>
      </c>
      <c r="L93" s="47" t="s">
        <v>42</v>
      </c>
      <c r="M93" s="47">
        <v>1</v>
      </c>
      <c r="N93" s="47" t="s">
        <v>48</v>
      </c>
      <c r="O93" s="46">
        <v>1</v>
      </c>
      <c r="P93" s="46">
        <v>0</v>
      </c>
      <c r="Q93" s="46">
        <v>0</v>
      </c>
      <c r="R93" s="46">
        <v>1</v>
      </c>
      <c r="S93" s="46" t="s">
        <v>49</v>
      </c>
      <c r="T93" s="46" t="s">
        <v>108</v>
      </c>
      <c r="U93" s="13"/>
      <c r="V93" s="13"/>
      <c r="W93" s="13"/>
      <c r="X93" s="13"/>
      <c r="Y93" s="15" t="s">
        <v>280</v>
      </c>
      <c r="Z93" s="13"/>
      <c r="AA93" s="13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</row>
    <row r="94" s="1" customFormat="1" ht="52.8" outlineLevel="1" spans="1:39">
      <c r="A94" s="13"/>
      <c r="B94" s="13"/>
      <c r="C94" s="13"/>
      <c r="D94" s="13"/>
      <c r="E94" s="13"/>
      <c r="F94" s="13"/>
      <c r="G94" s="43" t="s">
        <v>281</v>
      </c>
      <c r="H94" s="44" t="s">
        <v>282</v>
      </c>
      <c r="I94" s="45" t="s">
        <v>47</v>
      </c>
      <c r="J94" s="46">
        <v>6</v>
      </c>
      <c r="K94" s="46">
        <v>52</v>
      </c>
      <c r="L94" s="47" t="s">
        <v>42</v>
      </c>
      <c r="M94" s="47">
        <v>2</v>
      </c>
      <c r="N94" s="47" t="s">
        <v>48</v>
      </c>
      <c r="O94" s="46">
        <v>1</v>
      </c>
      <c r="P94" s="46">
        <v>0</v>
      </c>
      <c r="Q94" s="46">
        <v>0</v>
      </c>
      <c r="R94" s="46">
        <v>3</v>
      </c>
      <c r="S94" s="46" t="s">
        <v>49</v>
      </c>
      <c r="T94" s="46" t="s">
        <v>50</v>
      </c>
      <c r="U94" s="13"/>
      <c r="V94" s="13"/>
      <c r="W94" s="13"/>
      <c r="X94" s="13"/>
      <c r="Y94" s="15" t="s">
        <v>283</v>
      </c>
      <c r="Z94" s="13"/>
      <c r="AA94" s="13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</row>
    <row r="95" s="1" customFormat="1" ht="52.8" outlineLevel="1" spans="1:39">
      <c r="A95" s="13"/>
      <c r="B95" s="13"/>
      <c r="C95" s="13"/>
      <c r="D95" s="13"/>
      <c r="E95" s="13"/>
      <c r="F95" s="13"/>
      <c r="G95" s="43" t="s">
        <v>284</v>
      </c>
      <c r="H95" s="44" t="s">
        <v>285</v>
      </c>
      <c r="I95" s="45" t="s">
        <v>47</v>
      </c>
      <c r="J95" s="46">
        <v>6</v>
      </c>
      <c r="K95" s="46">
        <v>54</v>
      </c>
      <c r="L95" s="47" t="s">
        <v>42</v>
      </c>
      <c r="M95" s="47">
        <v>2</v>
      </c>
      <c r="N95" s="47" t="s">
        <v>48</v>
      </c>
      <c r="O95" s="46">
        <v>1</v>
      </c>
      <c r="P95" s="46">
        <v>0</v>
      </c>
      <c r="Q95" s="46">
        <v>0</v>
      </c>
      <c r="R95" s="46">
        <v>3</v>
      </c>
      <c r="S95" s="46" t="s">
        <v>49</v>
      </c>
      <c r="T95" s="46" t="s">
        <v>50</v>
      </c>
      <c r="U95" s="13"/>
      <c r="V95" s="13"/>
      <c r="W95" s="13"/>
      <c r="X95" s="13"/>
      <c r="Y95" s="15" t="s">
        <v>286</v>
      </c>
      <c r="Z95" s="13"/>
      <c r="AA95" s="13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</row>
    <row r="96" s="1" customFormat="1" ht="13.5" customHeight="1" outlineLevel="1" spans="1:39">
      <c r="A96" s="13"/>
      <c r="B96" s="13"/>
      <c r="C96" s="13"/>
      <c r="D96" s="13"/>
      <c r="E96" s="13"/>
      <c r="F96" s="13"/>
      <c r="G96" s="43" t="s">
        <v>287</v>
      </c>
      <c r="H96" s="44" t="s">
        <v>288</v>
      </c>
      <c r="I96" s="45" t="s">
        <v>47</v>
      </c>
      <c r="J96" s="46">
        <v>7</v>
      </c>
      <c r="K96" s="46">
        <v>56</v>
      </c>
      <c r="L96" s="47" t="s">
        <v>42</v>
      </c>
      <c r="M96" s="47">
        <v>2</v>
      </c>
      <c r="N96" s="47" t="s">
        <v>48</v>
      </c>
      <c r="O96" s="46">
        <v>1</v>
      </c>
      <c r="P96" s="46">
        <v>0</v>
      </c>
      <c r="Q96" s="46">
        <v>0</v>
      </c>
      <c r="R96" s="46">
        <v>3</v>
      </c>
      <c r="S96" s="46" t="s">
        <v>49</v>
      </c>
      <c r="T96" s="46" t="s">
        <v>50</v>
      </c>
      <c r="U96" s="13"/>
      <c r="V96" s="13"/>
      <c r="W96" s="13"/>
      <c r="X96" s="13"/>
      <c r="Y96" s="15" t="s">
        <v>289</v>
      </c>
      <c r="Z96" s="13"/>
      <c r="AA96" s="13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</row>
    <row r="97" s="1" customFormat="1" ht="13.5" customHeight="1" outlineLevel="1" spans="1:39">
      <c r="A97" s="13"/>
      <c r="B97" s="13"/>
      <c r="C97" s="13"/>
      <c r="D97" s="13"/>
      <c r="E97" s="13"/>
      <c r="F97" s="13"/>
      <c r="G97" s="14" t="s">
        <v>290</v>
      </c>
      <c r="H97" s="48" t="s">
        <v>291</v>
      </c>
      <c r="I97" s="16" t="s">
        <v>47</v>
      </c>
      <c r="J97" s="13">
        <v>7</v>
      </c>
      <c r="K97" s="13">
        <v>58</v>
      </c>
      <c r="L97" s="13" t="s">
        <v>42</v>
      </c>
      <c r="M97" s="13">
        <v>2</v>
      </c>
      <c r="N97" s="13" t="s">
        <v>48</v>
      </c>
      <c r="O97" s="13">
        <v>1</v>
      </c>
      <c r="P97" s="13">
        <v>0</v>
      </c>
      <c r="Q97" s="13">
        <v>0</v>
      </c>
      <c r="R97" s="13">
        <v>3</v>
      </c>
      <c r="S97" s="13" t="s">
        <v>49</v>
      </c>
      <c r="T97" s="13" t="s">
        <v>50</v>
      </c>
      <c r="U97" s="13" t="s">
        <v>292</v>
      </c>
      <c r="V97" s="13"/>
      <c r="W97" s="13"/>
      <c r="X97" s="13"/>
      <c r="Y97" s="15" t="s">
        <v>289</v>
      </c>
      <c r="Z97" s="13"/>
      <c r="AA97" s="13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</row>
  </sheetData>
  <autoFilter xmlns:etc="http://www.wps.cn/officeDocument/2017/etCustomData" ref="A1:CE97" etc:filterBottomFollowUsedRange="0">
    <extLst/>
  </autoFilter>
  <conditionalFormatting sqref="G68:G74">
    <cfRule type="duplicateValues" dxfId="0" priority="181"/>
  </conditionalFormatting>
  <dataValidations count="7">
    <dataValidation type="list" allowBlank="1" showErrorMessage="1" errorTitle="错误提示" error="必须从下拉框中选择" sqref="B2 B22 B28 B30 B43 B56 B68 B75">
      <formula1>"J1939 PG,CAN Standard,CAN Extended,CAN NM,CAN Diag,CANFD Standard,CANFD Extended,CANFD NM,CANFD Diag"</formula1>
    </dataValidation>
    <dataValidation type="list" allowBlank="1" showErrorMessage="1" errorTitle="错误提示" error="必须从下拉框中选择" sqref="D2 D22 D75">
      <formula1>"CE,Cyclic,IfActive,Event,NoMsgSendType,Cycle,CA"</formula1>
    </dataValidation>
    <dataValidation type="list" allowBlank="1" showErrorMessage="1" errorTitle="错误提示" error="必须从下拉框中选择" sqref="L30 L43 L57:L67">
      <formula1>"OnWrite,CE,IfActive,NoSigSendType,OnChange,OnChangeWithRepetition,IfActiveWithRepetition,Cycle,OnWriteWithRepetition,OnChangeAndIfActive,Event,OnChangeAndIfActiveWithRepetition,CA"</formula1>
    </dataValidation>
    <dataValidation type="list" allowBlank="1" showInputMessage="1" showErrorMessage="1" sqref="I43 I3:I19 I22:I30 I57:I67 I69:I74">
      <formula1>"Intel,Motorola MSB,Motorola LSB"</formula1>
    </dataValidation>
    <dataValidation type="list" allowBlank="1" showErrorMessage="1" errorTitle="错误提示" error="必须从下拉框中选择" sqref="D53 D56 D68 D28:D43">
      <formula1>"CE,IfActive,Event,NoMsgSendType,Cycle,CA"</formula1>
    </dataValidation>
    <dataValidation type="list" allowBlank="1" showErrorMessage="1" errorTitle="错误提示" error="必须从下拉框中选择" sqref="L23:L29 L69:L74 L76:L97">
      <formula1>"OnWrite,CE,IfActive,NoSigSendType,OnChange,OnChangeWithRepetition,IfActiveWithRepetition,Cycle,OnWriteWithRepetition,OnChangeAndIfActive,Cyclic,Event,OnChangeAndIfActiveWithRepetition,CA"</formula1>
    </dataValidation>
    <dataValidation type="list" allowBlank="1" showErrorMessage="1" errorTitle="错误提示" error="必须从下拉框中选择" sqref="N3:N19 N23:N29 N57:N67 N69:N74">
      <formula1>"double,unsigned,signed,float"</formula1>
    </dataValidation>
  </dataValidations>
  <pageMargins left="0.7" right="0.7" top="0.75" bottom="0.75" header="0.3" footer="0.3"/>
  <pageSetup paperSize="9" orientation="portrait"/>
  <headerFooter/>
  <ignoredErrors>
    <ignoredError sqref="A76:F88 Z76:CE88 A93:F97 Z93:CE97 AO1:CE1 A1:Q1 T1:AM1 B75:AI75 AL75:CE75 A2:CE71 A72:P72 R72:CE72 A73:CE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BCAN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</dc:creator>
  <cp:lastModifiedBy>Emerson</cp:lastModifiedBy>
  <dcterms:created xsi:type="dcterms:W3CDTF">2020-01-06T10:12:00Z</dcterms:created>
  <dcterms:modified xsi:type="dcterms:W3CDTF">2026-10-14T03:17:18Z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D1CA96D5DE224FE1BBDB508033022B70_13</vt:lpwstr>
  </property>
  <property fmtid="{D5CDD505-2E9C-101B-9397-08002B2CF9AE}" pid="4" name="CalculationRule">
    <vt:i4>0</vt:i4>
  </property>
</Properties>
</file>